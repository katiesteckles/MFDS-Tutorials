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30566/Documents/GitHub/MFDS-Tutorials/resources/"/>
    </mc:Choice>
  </mc:AlternateContent>
  <xr:revisionPtr revIDLastSave="0" documentId="8_{8E87CA69-EED0-2B42-AAE5-13798DA100BC}" xr6:coauthVersionLast="47" xr6:coauthVersionMax="47" xr10:uidLastSave="{00000000-0000-0000-0000-000000000000}"/>
  <bookViews>
    <workbookView xWindow="1500" yWindow="1300" windowWidth="27640" windowHeight="16620" xr2:uid="{F3EF5470-4B31-084E-8295-50AFA7EE81B2}"/>
  </bookViews>
  <sheets>
    <sheet name="Sheet1" sheetId="1" r:id="rId1"/>
  </sheets>
  <definedNames>
    <definedName name="_xlchart.v1.0" hidden="1">Sheet1!$B$7:$B$47</definedName>
    <definedName name="_xlchart.v1.1" hidden="1">Sheet1!$C$7:$C$47</definedName>
    <definedName name="_xlchart.v1.10" hidden="1">Sheet1!$M$6:$M$56</definedName>
    <definedName name="_xlchart.v1.11" hidden="1">Sheet1!$N$6:$N$56</definedName>
    <definedName name="_xlchart.v1.12" hidden="1">Sheet1!$O$6:$O$56</definedName>
    <definedName name="_xlchart.v1.2" hidden="1">Sheet1!$M$6:$M$56</definedName>
    <definedName name="_xlchart.v1.3" hidden="1">Sheet1!$N$6:$N$56</definedName>
    <definedName name="_xlchart.v1.4" hidden="1">Sheet1!$O$6:$O$56</definedName>
    <definedName name="_xlchart.v1.5" hidden="1">Sheet1!$M$6:$M$16</definedName>
    <definedName name="_xlchart.v1.6" hidden="1">Sheet1!$O$6:$O$16</definedName>
    <definedName name="_xlchart.v1.7" hidden="1">Sheet1!$M$6:$M$56</definedName>
    <definedName name="_xlchart.v1.8" hidden="1">Sheet1!$N$6:$N$56</definedName>
    <definedName name="_xlchart.v1.9" hidden="1">Sheet1!$O$6:$O$56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M52" i="1"/>
  <c r="M53" i="1" s="1"/>
  <c r="M54" i="1" s="1"/>
  <c r="M55" i="1" s="1"/>
  <c r="M56" i="1" s="1"/>
  <c r="M43" i="1"/>
  <c r="M44" i="1" s="1"/>
  <c r="M45" i="1" s="1"/>
  <c r="M46" i="1" s="1"/>
  <c r="M47" i="1" s="1"/>
  <c r="M48" i="1" s="1"/>
  <c r="M49" i="1" s="1"/>
  <c r="M50" i="1" s="1"/>
  <c r="M51" i="1" s="1"/>
  <c r="M17" i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16" i="1"/>
  <c r="N7" i="1"/>
  <c r="N8" i="1"/>
  <c r="N9" i="1"/>
  <c r="N10" i="1"/>
  <c r="N11" i="1"/>
  <c r="N12" i="1"/>
  <c r="N13" i="1"/>
  <c r="N14" i="1"/>
  <c r="N15" i="1"/>
  <c r="N16" i="1"/>
  <c r="N6" i="1"/>
  <c r="C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7" i="1"/>
  <c r="C8" i="1"/>
  <c r="C10" i="1"/>
  <c r="C12" i="1"/>
  <c r="C14" i="1"/>
  <c r="C16" i="1"/>
  <c r="C18" i="1"/>
  <c r="C20" i="1"/>
  <c r="C22" i="1"/>
  <c r="C24" i="1"/>
  <c r="C26" i="1"/>
  <c r="C28" i="1"/>
  <c r="C30" i="1"/>
  <c r="C32" i="1"/>
  <c r="C34" i="1"/>
  <c r="C36" i="1"/>
  <c r="C38" i="1"/>
  <c r="C40" i="1"/>
  <c r="C42" i="1"/>
  <c r="C44" i="1"/>
  <c r="C46" i="1"/>
  <c r="C33" i="1"/>
  <c r="C37" i="1"/>
  <c r="C41" i="1"/>
  <c r="C13" i="1"/>
  <c r="C17" i="1"/>
  <c r="C21" i="1"/>
  <c r="C25" i="1"/>
  <c r="C29" i="1"/>
  <c r="C45" i="1"/>
  <c r="C9" i="1"/>
  <c r="C11" i="1"/>
  <c r="C15" i="1"/>
  <c r="C19" i="1"/>
  <c r="C23" i="1"/>
  <c r="C27" i="1"/>
  <c r="C31" i="1"/>
  <c r="C35" i="1"/>
  <c r="C39" i="1"/>
  <c r="C43" i="1"/>
  <c r="C47" i="1"/>
</calcChain>
</file>

<file path=xl/sharedStrings.xml><?xml version="1.0" encoding="utf-8"?>
<sst xmlns="http://schemas.openxmlformats.org/spreadsheetml/2006/main" count="4" uniqueCount="4">
  <si>
    <t>mu</t>
  </si>
  <si>
    <t>sigma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</si>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</sst>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</a:t>
            </a:r>
            <a:r>
              <a:rPr lang="en-GB" baseline="0"/>
              <a:t> Disribution (Cumulative)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Sheet1!$B$7:$B$47</c:f>
              <c:numCache>
                <c:formatCode>General</c:formatCode>
                <c:ptCount val="41"/>
                <c:pt idx="0">
                  <c:v>-5</c:v>
                </c:pt>
                <c:pt idx="1">
                  <c:v>-4.75</c:v>
                </c:pt>
                <c:pt idx="2">
                  <c:v>-4.5</c:v>
                </c:pt>
                <c:pt idx="3">
                  <c:v>-4.25</c:v>
                </c:pt>
                <c:pt idx="4">
                  <c:v>-4</c:v>
                </c:pt>
                <c:pt idx="5">
                  <c:v>-3.75</c:v>
                </c:pt>
                <c:pt idx="6">
                  <c:v>-3.5</c:v>
                </c:pt>
                <c:pt idx="7">
                  <c:v>-3.25</c:v>
                </c:pt>
                <c:pt idx="8">
                  <c:v>-3</c:v>
                </c:pt>
                <c:pt idx="9">
                  <c:v>-2.75</c:v>
                </c:pt>
                <c:pt idx="10">
                  <c:v>-2.5</c:v>
                </c:pt>
                <c:pt idx="11">
                  <c:v>-2.25</c:v>
                </c:pt>
                <c:pt idx="12">
                  <c:v>-2</c:v>
                </c:pt>
                <c:pt idx="13">
                  <c:v>-1.75</c:v>
                </c:pt>
                <c:pt idx="14">
                  <c:v>-1.5</c:v>
                </c:pt>
                <c:pt idx="15">
                  <c:v>-1.25</c:v>
                </c:pt>
                <c:pt idx="16">
                  <c:v>-1</c:v>
                </c:pt>
                <c:pt idx="17">
                  <c:v>-0.75</c:v>
                </c:pt>
                <c:pt idx="18">
                  <c:v>-0.5</c:v>
                </c:pt>
                <c:pt idx="19">
                  <c:v>-0.25</c:v>
                </c:pt>
                <c:pt idx="20">
                  <c:v>0</c:v>
                </c:pt>
                <c:pt idx="21">
                  <c:v>0.25</c:v>
                </c:pt>
                <c:pt idx="22">
                  <c:v>0.5</c:v>
                </c:pt>
                <c:pt idx="23">
                  <c:v>0.75</c:v>
                </c:pt>
                <c:pt idx="24">
                  <c:v>1</c:v>
                </c:pt>
                <c:pt idx="25">
                  <c:v>1.25</c:v>
                </c:pt>
                <c:pt idx="26">
                  <c:v>1.5</c:v>
                </c:pt>
                <c:pt idx="27">
                  <c:v>1.75</c:v>
                </c:pt>
                <c:pt idx="28">
                  <c:v>2</c:v>
                </c:pt>
                <c:pt idx="29">
                  <c:v>2.25</c:v>
                </c:pt>
                <c:pt idx="30">
                  <c:v>2.5</c:v>
                </c:pt>
                <c:pt idx="31">
                  <c:v>2.75</c:v>
                </c:pt>
                <c:pt idx="32">
                  <c:v>3</c:v>
                </c:pt>
                <c:pt idx="33">
                  <c:v>3.25</c:v>
                </c:pt>
                <c:pt idx="34">
                  <c:v>3.5</c:v>
                </c:pt>
                <c:pt idx="35">
                  <c:v>3.75</c:v>
                </c:pt>
                <c:pt idx="36">
                  <c:v>4</c:v>
                </c:pt>
                <c:pt idx="37">
                  <c:v>4.25</c:v>
                </c:pt>
                <c:pt idx="38">
                  <c:v>4.5</c:v>
                </c:pt>
                <c:pt idx="39">
                  <c:v>4.75</c:v>
                </c:pt>
                <c:pt idx="40">
                  <c:v>5</c:v>
                </c:pt>
              </c:numCache>
            </c:numRef>
          </c:xVal>
          <c:yVal>
            <c:numRef>
              <c:f>Sheet1!$D$7:$D$47</c:f>
              <c:numCache>
                <c:formatCode>General</c:formatCode>
                <c:ptCount val="41"/>
                <c:pt idx="0">
                  <c:v>2.8665157187919333E-7</c:v>
                </c:pt>
                <c:pt idx="1">
                  <c:v>1.0170832425687034E-6</c:v>
                </c:pt>
                <c:pt idx="2">
                  <c:v>3.3976731247300535E-6</c:v>
                </c:pt>
                <c:pt idx="3">
                  <c:v>1.06885257749344E-5</c:v>
                </c:pt>
                <c:pt idx="4">
                  <c:v>3.1671241833119857E-5</c:v>
                </c:pt>
                <c:pt idx="5">
                  <c:v>8.841728520080376E-5</c:v>
                </c:pt>
                <c:pt idx="6">
                  <c:v>2.3262907903552504E-4</c:v>
                </c:pt>
                <c:pt idx="7">
                  <c:v>5.7702504239076603E-4</c:v>
                </c:pt>
                <c:pt idx="8">
                  <c:v>1.3498980316300933E-3</c:v>
                </c:pt>
                <c:pt idx="9">
                  <c:v>2.9797632350545551E-3</c:v>
                </c:pt>
                <c:pt idx="10">
                  <c:v>6.2096653257761331E-3</c:v>
                </c:pt>
                <c:pt idx="11">
                  <c:v>1.2224472655044696E-2</c:v>
                </c:pt>
                <c:pt idx="12">
                  <c:v>2.2750131948179191E-2</c:v>
                </c:pt>
                <c:pt idx="13">
                  <c:v>4.00591568638171E-2</c:v>
                </c:pt>
                <c:pt idx="14">
                  <c:v>6.6807201268858057E-2</c:v>
                </c:pt>
                <c:pt idx="15">
                  <c:v>0.10564977366685525</c:v>
                </c:pt>
                <c:pt idx="16">
                  <c:v>0.15865525393145699</c:v>
                </c:pt>
                <c:pt idx="17">
                  <c:v>0.22662735237686821</c:v>
                </c:pt>
                <c:pt idx="18">
                  <c:v>0.30853753872598688</c:v>
                </c:pt>
                <c:pt idx="19">
                  <c:v>0.4012936743170763</c:v>
                </c:pt>
                <c:pt idx="20">
                  <c:v>0.5</c:v>
                </c:pt>
                <c:pt idx="21">
                  <c:v>0.5987063256829237</c:v>
                </c:pt>
                <c:pt idx="22">
                  <c:v>0.69146246127401312</c:v>
                </c:pt>
                <c:pt idx="23">
                  <c:v>0.77337264762313174</c:v>
                </c:pt>
                <c:pt idx="24">
                  <c:v>0.84134474606854304</c:v>
                </c:pt>
                <c:pt idx="25">
                  <c:v>0.89435022633314476</c:v>
                </c:pt>
                <c:pt idx="26">
                  <c:v>0.93319279873114191</c:v>
                </c:pt>
                <c:pt idx="27">
                  <c:v>0.95994084313618289</c:v>
                </c:pt>
                <c:pt idx="28">
                  <c:v>0.97724986805182079</c:v>
                </c:pt>
                <c:pt idx="29">
                  <c:v>0.98777552734495533</c:v>
                </c:pt>
                <c:pt idx="30">
                  <c:v>0.99379033467422384</c:v>
                </c:pt>
                <c:pt idx="31">
                  <c:v>0.99702023676494544</c:v>
                </c:pt>
                <c:pt idx="32">
                  <c:v>0.9986501019683699</c:v>
                </c:pt>
                <c:pt idx="33">
                  <c:v>0.99942297495760923</c:v>
                </c:pt>
                <c:pt idx="34">
                  <c:v>0.99976737092096446</c:v>
                </c:pt>
                <c:pt idx="35">
                  <c:v>0.99991158271479919</c:v>
                </c:pt>
                <c:pt idx="36">
                  <c:v>0.99996832875816688</c:v>
                </c:pt>
                <c:pt idx="37">
                  <c:v>0.9999893114742251</c:v>
                </c:pt>
                <c:pt idx="38">
                  <c:v>0.99999660232687526</c:v>
                </c:pt>
                <c:pt idx="39">
                  <c:v>0.99999898291675748</c:v>
                </c:pt>
                <c:pt idx="40">
                  <c:v>0.99999971334842808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225-5744-A319-329CBC5E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240752"/>
        <c:axId val="323588944"/>
      </c:scatterChart>
      <c:valAx>
        <c:axId val="3232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88944"/>
        <c:crosses val="autoZero"/>
        <c:crossBetween val="midCat"/>
      </c:valAx>
      <c:valAx>
        <c:axId val="3235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24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Sheet1!$B$7:$B$47</c:f>
              <c:numCache>
                <c:formatCode>General</c:formatCode>
                <c:ptCount val="41"/>
                <c:pt idx="0">
                  <c:v>-5</c:v>
                </c:pt>
                <c:pt idx="1">
                  <c:v>-4.75</c:v>
                </c:pt>
                <c:pt idx="2">
                  <c:v>-4.5</c:v>
                </c:pt>
                <c:pt idx="3">
                  <c:v>-4.25</c:v>
                </c:pt>
                <c:pt idx="4">
                  <c:v>-4</c:v>
                </c:pt>
                <c:pt idx="5">
                  <c:v>-3.75</c:v>
                </c:pt>
                <c:pt idx="6">
                  <c:v>-3.5</c:v>
                </c:pt>
                <c:pt idx="7">
                  <c:v>-3.25</c:v>
                </c:pt>
                <c:pt idx="8">
                  <c:v>-3</c:v>
                </c:pt>
                <c:pt idx="9">
                  <c:v>-2.75</c:v>
                </c:pt>
                <c:pt idx="10">
                  <c:v>-2.5</c:v>
                </c:pt>
                <c:pt idx="11">
                  <c:v>-2.25</c:v>
                </c:pt>
                <c:pt idx="12">
                  <c:v>-2</c:v>
                </c:pt>
                <c:pt idx="13">
                  <c:v>-1.75</c:v>
                </c:pt>
                <c:pt idx="14">
                  <c:v>-1.5</c:v>
                </c:pt>
                <c:pt idx="15">
                  <c:v>-1.25</c:v>
                </c:pt>
                <c:pt idx="16">
                  <c:v>-1</c:v>
                </c:pt>
                <c:pt idx="17">
                  <c:v>-0.75</c:v>
                </c:pt>
                <c:pt idx="18">
                  <c:v>-0.5</c:v>
                </c:pt>
                <c:pt idx="19">
                  <c:v>-0.25</c:v>
                </c:pt>
                <c:pt idx="20">
                  <c:v>0</c:v>
                </c:pt>
                <c:pt idx="21">
                  <c:v>0.25</c:v>
                </c:pt>
                <c:pt idx="22">
                  <c:v>0.5</c:v>
                </c:pt>
                <c:pt idx="23">
                  <c:v>0.75</c:v>
                </c:pt>
                <c:pt idx="24">
                  <c:v>1</c:v>
                </c:pt>
                <c:pt idx="25">
                  <c:v>1.25</c:v>
                </c:pt>
                <c:pt idx="26">
                  <c:v>1.5</c:v>
                </c:pt>
                <c:pt idx="27">
                  <c:v>1.75</c:v>
                </c:pt>
                <c:pt idx="28">
                  <c:v>2</c:v>
                </c:pt>
                <c:pt idx="29">
                  <c:v>2.25</c:v>
                </c:pt>
                <c:pt idx="30">
                  <c:v>2.5</c:v>
                </c:pt>
                <c:pt idx="31">
                  <c:v>2.75</c:v>
                </c:pt>
                <c:pt idx="32">
                  <c:v>3</c:v>
                </c:pt>
                <c:pt idx="33">
                  <c:v>3.25</c:v>
                </c:pt>
                <c:pt idx="34">
                  <c:v>3.5</c:v>
                </c:pt>
                <c:pt idx="35">
                  <c:v>3.75</c:v>
                </c:pt>
                <c:pt idx="36">
                  <c:v>4</c:v>
                </c:pt>
                <c:pt idx="37">
                  <c:v>4.25</c:v>
                </c:pt>
                <c:pt idx="38">
                  <c:v>4.5</c:v>
                </c:pt>
                <c:pt idx="39">
                  <c:v>4.75</c:v>
                </c:pt>
                <c:pt idx="40">
                  <c:v>5</c:v>
                </c:pt>
              </c:numCache>
            </c:numRef>
          </c:xVal>
          <c:yVal>
            <c:numRef>
              <c:f>Sheet1!$C$7:$C$47</c:f>
              <c:numCache>
                <c:formatCode>General</c:formatCode>
                <c:ptCount val="41"/>
                <c:pt idx="0">
                  <c:v>1.4867195147342977E-6</c:v>
                </c:pt>
                <c:pt idx="1">
                  <c:v>5.0295072885924454E-6</c:v>
                </c:pt>
                <c:pt idx="2">
                  <c:v>1.5983741106905475E-5</c:v>
                </c:pt>
                <c:pt idx="3">
                  <c:v>4.7718636541204952E-5</c:v>
                </c:pt>
                <c:pt idx="4">
                  <c:v>1.3383022576488537E-4</c:v>
                </c:pt>
                <c:pt idx="5">
                  <c:v>3.5259568236744541E-4</c:v>
                </c:pt>
                <c:pt idx="6">
                  <c:v>8.7268269504576015E-4</c:v>
                </c:pt>
                <c:pt idx="7">
                  <c:v>2.0290480572997681E-3</c:v>
                </c:pt>
                <c:pt idx="8">
                  <c:v>4.4318484119380075E-3</c:v>
                </c:pt>
                <c:pt idx="9">
                  <c:v>9.0935625015910529E-3</c:v>
                </c:pt>
                <c:pt idx="10">
                  <c:v>1.752830049356854E-2</c:v>
                </c:pt>
                <c:pt idx="11">
                  <c:v>3.1739651835667418E-2</c:v>
                </c:pt>
                <c:pt idx="12">
                  <c:v>5.3990966513188063E-2</c:v>
                </c:pt>
                <c:pt idx="13">
                  <c:v>8.6277318826511532E-2</c:v>
                </c:pt>
                <c:pt idx="14">
                  <c:v>0.12951759566589174</c:v>
                </c:pt>
                <c:pt idx="15">
                  <c:v>0.18264908538902191</c:v>
                </c:pt>
                <c:pt idx="16">
                  <c:v>0.24197072451914337</c:v>
                </c:pt>
                <c:pt idx="17">
                  <c:v>0.30113743215480443</c:v>
                </c:pt>
                <c:pt idx="18">
                  <c:v>0.35206532676429952</c:v>
                </c:pt>
                <c:pt idx="19">
                  <c:v>0.38666811680284924</c:v>
                </c:pt>
                <c:pt idx="20">
                  <c:v>0.3989422804014327</c:v>
                </c:pt>
                <c:pt idx="21">
                  <c:v>0.38666811680284924</c:v>
                </c:pt>
                <c:pt idx="22">
                  <c:v>0.35206532676429952</c:v>
                </c:pt>
                <c:pt idx="23">
                  <c:v>0.30113743215480443</c:v>
                </c:pt>
                <c:pt idx="24">
                  <c:v>0.24197072451914337</c:v>
                </c:pt>
                <c:pt idx="25">
                  <c:v>0.18264908538902191</c:v>
                </c:pt>
                <c:pt idx="26">
                  <c:v>0.12951759566589174</c:v>
                </c:pt>
                <c:pt idx="27">
                  <c:v>8.6277318826511532E-2</c:v>
                </c:pt>
                <c:pt idx="28">
                  <c:v>5.3990966513188063E-2</c:v>
                </c:pt>
                <c:pt idx="29">
                  <c:v>3.1739651835667418E-2</c:v>
                </c:pt>
                <c:pt idx="30">
                  <c:v>1.752830049356854E-2</c:v>
                </c:pt>
                <c:pt idx="31">
                  <c:v>9.0935625015910529E-3</c:v>
                </c:pt>
                <c:pt idx="32">
                  <c:v>4.4318484119380075E-3</c:v>
                </c:pt>
                <c:pt idx="33">
                  <c:v>2.0290480572997681E-3</c:v>
                </c:pt>
                <c:pt idx="34">
                  <c:v>8.7268269504576015E-4</c:v>
                </c:pt>
                <c:pt idx="35">
                  <c:v>3.5259568236744541E-4</c:v>
                </c:pt>
                <c:pt idx="36">
                  <c:v>1.3383022576488537E-4</c:v>
                </c:pt>
                <c:pt idx="37">
                  <c:v>4.7718636541204952E-5</c:v>
                </c:pt>
                <c:pt idx="38">
                  <c:v>1.5983741106905475E-5</c:v>
                </c:pt>
                <c:pt idx="39">
                  <c:v>5.0295072885924454E-6</c:v>
                </c:pt>
                <c:pt idx="40">
                  <c:v>1.4867195147342977E-6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C3-444D-8A80-05AFAB330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240752"/>
        <c:axId val="323588944"/>
      </c:scatterChart>
      <c:valAx>
        <c:axId val="3232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88944"/>
        <c:crosses val="autoZero"/>
        <c:crossBetween val="midCat"/>
      </c:valAx>
      <c:valAx>
        <c:axId val="3235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24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Binomial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Sheet1!$M$6:$M$56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Sheet1!$N$6:$N$56</c:f>
              <c:numCache>
                <c:formatCode>General</c:formatCode>
                <c:ptCount val="51"/>
                <c:pt idx="0">
                  <c:v>8.8817841970012444E-16</c:v>
                </c:pt>
                <c:pt idx="1">
                  <c:v>4.4408920985006533E-14</c:v>
                </c:pt>
                <c:pt idx="2">
                  <c:v>1.0880185641326522E-12</c:v>
                </c:pt>
                <c:pt idx="3">
                  <c:v>1.7408297026122522E-11</c:v>
                </c:pt>
                <c:pt idx="4">
                  <c:v>2.0454749005693866E-10</c:v>
                </c:pt>
                <c:pt idx="5">
                  <c:v>1.8818369085238295E-9</c:v>
                </c:pt>
                <c:pt idx="6">
                  <c:v>1.411377681392873E-8</c:v>
                </c:pt>
                <c:pt idx="7">
                  <c:v>8.8715168544695043E-8</c:v>
                </c:pt>
                <c:pt idx="8">
                  <c:v>4.7684403092773675E-7</c:v>
                </c:pt>
                <c:pt idx="9">
                  <c:v>2.225272144329444E-6</c:v>
                </c:pt>
                <c:pt idx="10">
                  <c:v>9.1236157917506673E-6</c:v>
                </c:pt>
                <c:pt idx="11">
                  <c:v>3.3176784697275137E-5</c:v>
                </c:pt>
                <c:pt idx="12">
                  <c:v>1.0782455026614464E-4</c:v>
                </c:pt>
                <c:pt idx="13">
                  <c:v>3.1517945462411457E-4</c:v>
                </c:pt>
                <c:pt idx="14">
                  <c:v>8.3297427293515961E-4</c:v>
                </c:pt>
                <c:pt idx="15">
                  <c:v>1.9991382550443907E-3</c:v>
                </c:pt>
                <c:pt idx="16">
                  <c:v>4.3731149329095925E-3</c:v>
                </c:pt>
                <c:pt idx="17">
                  <c:v>8.7462298658191901E-3</c:v>
                </c:pt>
                <c:pt idx="18">
                  <c:v>1.6034754754001849E-2</c:v>
                </c:pt>
                <c:pt idx="19">
                  <c:v>2.7005902743582024E-2</c:v>
                </c:pt>
                <c:pt idx="20">
                  <c:v>4.1859149252552186E-2</c:v>
                </c:pt>
                <c:pt idx="21">
                  <c:v>5.9798784646503088E-2</c:v>
                </c:pt>
                <c:pt idx="22">
                  <c:v>7.882567067039048E-2</c:v>
                </c:pt>
                <c:pt idx="23">
                  <c:v>9.5961686033518831E-2</c:v>
                </c:pt>
                <c:pt idx="24">
                  <c:v>0.10795689678770866</c:v>
                </c:pt>
                <c:pt idx="25">
                  <c:v>0.11227517265921706</c:v>
                </c:pt>
                <c:pt idx="26">
                  <c:v>0.10795689678770866</c:v>
                </c:pt>
                <c:pt idx="27">
                  <c:v>9.5961686033518831E-2</c:v>
                </c:pt>
                <c:pt idx="28">
                  <c:v>7.882567067039048E-2</c:v>
                </c:pt>
                <c:pt idx="29">
                  <c:v>5.9798784646503088E-2</c:v>
                </c:pt>
                <c:pt idx="30">
                  <c:v>4.1859149252552186E-2</c:v>
                </c:pt>
                <c:pt idx="31">
                  <c:v>2.7005902743582024E-2</c:v>
                </c:pt>
                <c:pt idx="32">
                  <c:v>1.6034754754001849E-2</c:v>
                </c:pt>
                <c:pt idx="33">
                  <c:v>8.7462298658191901E-3</c:v>
                </c:pt>
                <c:pt idx="34">
                  <c:v>4.3731149329095925E-3</c:v>
                </c:pt>
                <c:pt idx="35">
                  <c:v>1.9991382550443907E-3</c:v>
                </c:pt>
                <c:pt idx="36">
                  <c:v>8.3297427293516015E-4</c:v>
                </c:pt>
                <c:pt idx="37">
                  <c:v>3.1517945462411457E-4</c:v>
                </c:pt>
                <c:pt idx="38">
                  <c:v>1.0782455026614464E-4</c:v>
                </c:pt>
                <c:pt idx="39">
                  <c:v>3.3176784697275137E-5</c:v>
                </c:pt>
                <c:pt idx="40">
                  <c:v>9.1236157917506673E-6</c:v>
                </c:pt>
                <c:pt idx="41">
                  <c:v>2.225272144329444E-6</c:v>
                </c:pt>
                <c:pt idx="42">
                  <c:v>4.7684403092773675E-7</c:v>
                </c:pt>
                <c:pt idx="43">
                  <c:v>8.8715168544695043E-8</c:v>
                </c:pt>
                <c:pt idx="44">
                  <c:v>1.411377681392873E-8</c:v>
                </c:pt>
                <c:pt idx="45">
                  <c:v>1.8818369085238295E-9</c:v>
                </c:pt>
                <c:pt idx="46">
                  <c:v>2.0454749005693866E-10</c:v>
                </c:pt>
                <c:pt idx="47">
                  <c:v>1.7408297026122522E-11</c:v>
                </c:pt>
                <c:pt idx="48">
                  <c:v>1.088018564132656E-12</c:v>
                </c:pt>
                <c:pt idx="49">
                  <c:v>4.4408920985006533E-14</c:v>
                </c:pt>
                <c:pt idx="50">
                  <c:v>8.8817841970012444E-16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72-004E-AC59-D8F1FE9D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29685792"/>
        <c:axId val="271729504"/>
      </c:barChart>
      <c:catAx>
        <c:axId val="19296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29504"/>
        <c:crosses val="autoZero"/>
        <c:auto val="1"/>
        <c:lblAlgn val="ctr"/>
        <c:lblOffset val="100"/>
        <c:noMultiLvlLbl val="0"/>
      </c:catAx>
      <c:valAx>
        <c:axId val="2717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857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 Distribution (mu = np,</a:t>
            </a:r>
            <a:r>
              <a:rPr lang="en-GB" baseline="0"/>
              <a:t> sigma = np(1-p)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Sheet1!$M$6:$M$56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Sheet1!$O$6:$O$56</c:f>
              <c:numCache>
                <c:formatCode>General</c:formatCode>
                <c:ptCount val="51"/>
                <c:pt idx="0">
                  <c:v>1.5670866531017391E-12</c:v>
                </c:pt>
                <c:pt idx="1">
                  <c:v>1.1125260689810869E-11</c:v>
                </c:pt>
                <c:pt idx="2">
                  <c:v>7.290945002381978E-11</c:v>
                </c:pt>
                <c:pt idx="3">
                  <c:v>4.4107646946834241E-10</c:v>
                </c:pt>
                <c:pt idx="4">
                  <c:v>2.4632040986683438E-9</c:v>
                </c:pt>
                <c:pt idx="5">
                  <c:v>1.2698234671866602E-8</c:v>
                </c:pt>
                <c:pt idx="6">
                  <c:v>6.0428628932224707E-8</c:v>
                </c:pt>
                <c:pt idx="7">
                  <c:v>2.6545968447165893E-7</c:v>
                </c:pt>
                <c:pt idx="8">
                  <c:v>1.0764921036680712E-6</c:v>
                </c:pt>
                <c:pt idx="9">
                  <c:v>4.0297635533235608E-6</c:v>
                </c:pt>
                <c:pt idx="10">
                  <c:v>1.3925305194674811E-5</c:v>
                </c:pt>
                <c:pt idx="11">
                  <c:v>4.4420794420566709E-5</c:v>
                </c:pt>
                <c:pt idx="12">
                  <c:v>1.3080500497232819E-4</c:v>
                </c:pt>
                <c:pt idx="13">
                  <c:v>3.5556486808777484E-4</c:v>
                </c:pt>
                <c:pt idx="14">
                  <c:v>8.9221550649162058E-4</c:v>
                </c:pt>
                <c:pt idx="15">
                  <c:v>2.066698535409207E-3</c:v>
                </c:pt>
                <c:pt idx="16">
                  <c:v>4.4191723332011063E-3</c:v>
                </c:pt>
                <c:pt idx="17">
                  <c:v>8.7229058633945342E-3</c:v>
                </c:pt>
                <c:pt idx="18">
                  <c:v>1.589417076772779E-2</c:v>
                </c:pt>
                <c:pt idx="19">
                  <c:v>2.6734434700353919E-2</c:v>
                </c:pt>
                <c:pt idx="20">
                  <c:v>4.1510749742059476E-2</c:v>
                </c:pt>
                <c:pt idx="21">
                  <c:v>5.9498578625746895E-2</c:v>
                </c:pt>
                <c:pt idx="22">
                  <c:v>7.8724343171428721E-2</c:v>
                </c:pt>
                <c:pt idx="23">
                  <c:v>9.6154129883930781E-2</c:v>
                </c:pt>
                <c:pt idx="24">
                  <c:v>0.1084134787104863</c:v>
                </c:pt>
                <c:pt idx="25">
                  <c:v>0.11283791670955126</c:v>
                </c:pt>
                <c:pt idx="26">
                  <c:v>0.1084134787104863</c:v>
                </c:pt>
                <c:pt idx="27">
                  <c:v>9.6154129883930781E-2</c:v>
                </c:pt>
                <c:pt idx="28">
                  <c:v>7.8724343171428721E-2</c:v>
                </c:pt>
                <c:pt idx="29">
                  <c:v>5.9498578625746895E-2</c:v>
                </c:pt>
                <c:pt idx="30">
                  <c:v>4.1510749742059476E-2</c:v>
                </c:pt>
                <c:pt idx="31">
                  <c:v>2.6734434700353919E-2</c:v>
                </c:pt>
                <c:pt idx="32">
                  <c:v>1.589417076772779E-2</c:v>
                </c:pt>
                <c:pt idx="33">
                  <c:v>8.7229058633945342E-3</c:v>
                </c:pt>
                <c:pt idx="34">
                  <c:v>4.4191723332011063E-3</c:v>
                </c:pt>
                <c:pt idx="35">
                  <c:v>2.066698535409207E-3</c:v>
                </c:pt>
                <c:pt idx="36">
                  <c:v>8.9221550649162058E-4</c:v>
                </c:pt>
                <c:pt idx="37">
                  <c:v>3.5556486808777484E-4</c:v>
                </c:pt>
                <c:pt idx="38">
                  <c:v>1.3080500497232819E-4</c:v>
                </c:pt>
                <c:pt idx="39">
                  <c:v>4.4420794420566709E-5</c:v>
                </c:pt>
                <c:pt idx="40">
                  <c:v>1.3925305194674811E-5</c:v>
                </c:pt>
                <c:pt idx="41">
                  <c:v>4.0297635533235608E-6</c:v>
                </c:pt>
                <c:pt idx="42">
                  <c:v>1.0764921036680712E-6</c:v>
                </c:pt>
                <c:pt idx="43">
                  <c:v>2.6545968447165893E-7</c:v>
                </c:pt>
                <c:pt idx="44">
                  <c:v>6.0428628932224707E-8</c:v>
                </c:pt>
                <c:pt idx="45">
                  <c:v>1.2698234671866602E-8</c:v>
                </c:pt>
                <c:pt idx="46">
                  <c:v>2.4632040986683438E-9</c:v>
                </c:pt>
                <c:pt idx="47">
                  <c:v>4.4107646946834241E-10</c:v>
                </c:pt>
                <c:pt idx="48">
                  <c:v>7.290945002381978E-11</c:v>
                </c:pt>
                <c:pt idx="49">
                  <c:v>1.1125260689810869E-11</c:v>
                </c:pt>
                <c:pt idx="50">
                  <c:v>1.5670866531017391E-12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E-3640-9ECD-12DE32E76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685792"/>
        <c:axId val="271729504"/>
      </c:scatterChart>
      <c:valAx>
        <c:axId val="192968579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29504"/>
        <c:crosses val="autoZero"/>
        <c:crossBetween val="midCat"/>
      </c:valAx>
      <c:valAx>
        <c:axId val="2717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8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  and Binomial Distributions combined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Sheet1!$M$6:$M$56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Sheet1!$N$6:$N$56</c:f>
              <c:numCache>
                <c:formatCode>General</c:formatCode>
                <c:ptCount val="51"/>
                <c:pt idx="0">
                  <c:v>8.8817841970012444E-16</c:v>
                </c:pt>
                <c:pt idx="1">
                  <c:v>4.4408920985006533E-14</c:v>
                </c:pt>
                <c:pt idx="2">
                  <c:v>1.0880185641326522E-12</c:v>
                </c:pt>
                <c:pt idx="3">
                  <c:v>1.7408297026122522E-11</c:v>
                </c:pt>
                <c:pt idx="4">
                  <c:v>2.0454749005693866E-10</c:v>
                </c:pt>
                <c:pt idx="5">
                  <c:v>1.8818369085238295E-9</c:v>
                </c:pt>
                <c:pt idx="6">
                  <c:v>1.411377681392873E-8</c:v>
                </c:pt>
                <c:pt idx="7">
                  <c:v>8.8715168544695043E-8</c:v>
                </c:pt>
                <c:pt idx="8">
                  <c:v>4.7684403092773675E-7</c:v>
                </c:pt>
                <c:pt idx="9">
                  <c:v>2.225272144329444E-6</c:v>
                </c:pt>
                <c:pt idx="10">
                  <c:v>9.1236157917506673E-6</c:v>
                </c:pt>
                <c:pt idx="11">
                  <c:v>3.3176784697275137E-5</c:v>
                </c:pt>
                <c:pt idx="12">
                  <c:v>1.0782455026614464E-4</c:v>
                </c:pt>
                <c:pt idx="13">
                  <c:v>3.1517945462411457E-4</c:v>
                </c:pt>
                <c:pt idx="14">
                  <c:v>8.3297427293515961E-4</c:v>
                </c:pt>
                <c:pt idx="15">
                  <c:v>1.9991382550443907E-3</c:v>
                </c:pt>
                <c:pt idx="16">
                  <c:v>4.3731149329095925E-3</c:v>
                </c:pt>
                <c:pt idx="17">
                  <c:v>8.7462298658191901E-3</c:v>
                </c:pt>
                <c:pt idx="18">
                  <c:v>1.6034754754001849E-2</c:v>
                </c:pt>
                <c:pt idx="19">
                  <c:v>2.7005902743582024E-2</c:v>
                </c:pt>
                <c:pt idx="20">
                  <c:v>4.1859149252552186E-2</c:v>
                </c:pt>
                <c:pt idx="21">
                  <c:v>5.9798784646503088E-2</c:v>
                </c:pt>
                <c:pt idx="22">
                  <c:v>7.882567067039048E-2</c:v>
                </c:pt>
                <c:pt idx="23">
                  <c:v>9.5961686033518831E-2</c:v>
                </c:pt>
                <c:pt idx="24">
                  <c:v>0.10795689678770866</c:v>
                </c:pt>
                <c:pt idx="25">
                  <c:v>0.11227517265921706</c:v>
                </c:pt>
                <c:pt idx="26">
                  <c:v>0.10795689678770866</c:v>
                </c:pt>
                <c:pt idx="27">
                  <c:v>9.5961686033518831E-2</c:v>
                </c:pt>
                <c:pt idx="28">
                  <c:v>7.882567067039048E-2</c:v>
                </c:pt>
                <c:pt idx="29">
                  <c:v>5.9798784646503088E-2</c:v>
                </c:pt>
                <c:pt idx="30">
                  <c:v>4.1859149252552186E-2</c:v>
                </c:pt>
                <c:pt idx="31">
                  <c:v>2.7005902743582024E-2</c:v>
                </c:pt>
                <c:pt idx="32">
                  <c:v>1.6034754754001849E-2</c:v>
                </c:pt>
                <c:pt idx="33">
                  <c:v>8.7462298658191901E-3</c:v>
                </c:pt>
                <c:pt idx="34">
                  <c:v>4.3731149329095925E-3</c:v>
                </c:pt>
                <c:pt idx="35">
                  <c:v>1.9991382550443907E-3</c:v>
                </c:pt>
                <c:pt idx="36">
                  <c:v>8.3297427293516015E-4</c:v>
                </c:pt>
                <c:pt idx="37">
                  <c:v>3.1517945462411457E-4</c:v>
                </c:pt>
                <c:pt idx="38">
                  <c:v>1.0782455026614464E-4</c:v>
                </c:pt>
                <c:pt idx="39">
                  <c:v>3.3176784697275137E-5</c:v>
                </c:pt>
                <c:pt idx="40">
                  <c:v>9.1236157917506673E-6</c:v>
                </c:pt>
                <c:pt idx="41">
                  <c:v>2.225272144329444E-6</c:v>
                </c:pt>
                <c:pt idx="42">
                  <c:v>4.7684403092773675E-7</c:v>
                </c:pt>
                <c:pt idx="43">
                  <c:v>8.8715168544695043E-8</c:v>
                </c:pt>
                <c:pt idx="44">
                  <c:v>1.411377681392873E-8</c:v>
                </c:pt>
                <c:pt idx="45">
                  <c:v>1.8818369085238295E-9</c:v>
                </c:pt>
                <c:pt idx="46">
                  <c:v>2.0454749005693866E-10</c:v>
                </c:pt>
                <c:pt idx="47">
                  <c:v>1.7408297026122522E-11</c:v>
                </c:pt>
                <c:pt idx="48">
                  <c:v>1.088018564132656E-12</c:v>
                </c:pt>
                <c:pt idx="49">
                  <c:v>4.4408920985006533E-14</c:v>
                </c:pt>
                <c:pt idx="50">
                  <c:v>8.8817841970012444E-16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C-4F4D-8FBE-357B2701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929685792"/>
        <c:axId val="271729504"/>
      </c:barChart>
      <c:lineChart>
        <c:grouping val="standard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Sheet1!$M$6:$M$56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Sheet1!$O$6:$O$56</c:f>
              <c:numCache>
                <c:formatCode>General</c:formatCode>
                <c:ptCount val="51"/>
                <c:pt idx="0">
                  <c:v>1.5670866531017391E-12</c:v>
                </c:pt>
                <c:pt idx="1">
                  <c:v>1.1125260689810869E-11</c:v>
                </c:pt>
                <c:pt idx="2">
                  <c:v>7.290945002381978E-11</c:v>
                </c:pt>
                <c:pt idx="3">
                  <c:v>4.4107646946834241E-10</c:v>
                </c:pt>
                <c:pt idx="4">
                  <c:v>2.4632040986683438E-9</c:v>
                </c:pt>
                <c:pt idx="5">
                  <c:v>1.2698234671866602E-8</c:v>
                </c:pt>
                <c:pt idx="6">
                  <c:v>6.0428628932224707E-8</c:v>
                </c:pt>
                <c:pt idx="7">
                  <c:v>2.6545968447165893E-7</c:v>
                </c:pt>
                <c:pt idx="8">
                  <c:v>1.0764921036680712E-6</c:v>
                </c:pt>
                <c:pt idx="9">
                  <c:v>4.0297635533235608E-6</c:v>
                </c:pt>
                <c:pt idx="10">
                  <c:v>1.3925305194674811E-5</c:v>
                </c:pt>
                <c:pt idx="11">
                  <c:v>4.4420794420566709E-5</c:v>
                </c:pt>
                <c:pt idx="12">
                  <c:v>1.3080500497232819E-4</c:v>
                </c:pt>
                <c:pt idx="13">
                  <c:v>3.5556486808777484E-4</c:v>
                </c:pt>
                <c:pt idx="14">
                  <c:v>8.9221550649162058E-4</c:v>
                </c:pt>
                <c:pt idx="15">
                  <c:v>2.066698535409207E-3</c:v>
                </c:pt>
                <c:pt idx="16">
                  <c:v>4.4191723332011063E-3</c:v>
                </c:pt>
                <c:pt idx="17">
                  <c:v>8.7229058633945342E-3</c:v>
                </c:pt>
                <c:pt idx="18">
                  <c:v>1.589417076772779E-2</c:v>
                </c:pt>
                <c:pt idx="19">
                  <c:v>2.6734434700353919E-2</c:v>
                </c:pt>
                <c:pt idx="20">
                  <c:v>4.1510749742059476E-2</c:v>
                </c:pt>
                <c:pt idx="21">
                  <c:v>5.9498578625746895E-2</c:v>
                </c:pt>
                <c:pt idx="22">
                  <c:v>7.8724343171428721E-2</c:v>
                </c:pt>
                <c:pt idx="23">
                  <c:v>9.6154129883930781E-2</c:v>
                </c:pt>
                <c:pt idx="24">
                  <c:v>0.1084134787104863</c:v>
                </c:pt>
                <c:pt idx="25">
                  <c:v>0.11283791670955126</c:v>
                </c:pt>
                <c:pt idx="26">
                  <c:v>0.1084134787104863</c:v>
                </c:pt>
                <c:pt idx="27">
                  <c:v>9.6154129883930781E-2</c:v>
                </c:pt>
                <c:pt idx="28">
                  <c:v>7.8724343171428721E-2</c:v>
                </c:pt>
                <c:pt idx="29">
                  <c:v>5.9498578625746895E-2</c:v>
                </c:pt>
                <c:pt idx="30">
                  <c:v>4.1510749742059476E-2</c:v>
                </c:pt>
                <c:pt idx="31">
                  <c:v>2.6734434700353919E-2</c:v>
                </c:pt>
                <c:pt idx="32">
                  <c:v>1.589417076772779E-2</c:v>
                </c:pt>
                <c:pt idx="33">
                  <c:v>8.7229058633945342E-3</c:v>
                </c:pt>
                <c:pt idx="34">
                  <c:v>4.4191723332011063E-3</c:v>
                </c:pt>
                <c:pt idx="35">
                  <c:v>2.066698535409207E-3</c:v>
                </c:pt>
                <c:pt idx="36">
                  <c:v>8.9221550649162058E-4</c:v>
                </c:pt>
                <c:pt idx="37">
                  <c:v>3.5556486808777484E-4</c:v>
                </c:pt>
                <c:pt idx="38">
                  <c:v>1.3080500497232819E-4</c:v>
                </c:pt>
                <c:pt idx="39">
                  <c:v>4.4420794420566709E-5</c:v>
                </c:pt>
                <c:pt idx="40">
                  <c:v>1.3925305194674811E-5</c:v>
                </c:pt>
                <c:pt idx="41">
                  <c:v>4.0297635533235608E-6</c:v>
                </c:pt>
                <c:pt idx="42">
                  <c:v>1.0764921036680712E-6</c:v>
                </c:pt>
                <c:pt idx="43">
                  <c:v>2.6545968447165893E-7</c:v>
                </c:pt>
                <c:pt idx="44">
                  <c:v>6.0428628932224707E-8</c:v>
                </c:pt>
                <c:pt idx="45">
                  <c:v>1.2698234671866602E-8</c:v>
                </c:pt>
                <c:pt idx="46">
                  <c:v>2.4632040986683438E-9</c:v>
                </c:pt>
                <c:pt idx="47">
                  <c:v>4.4107646946834241E-10</c:v>
                </c:pt>
                <c:pt idx="48">
                  <c:v>7.290945002381978E-11</c:v>
                </c:pt>
                <c:pt idx="49">
                  <c:v>1.1125260689810869E-11</c:v>
                </c:pt>
                <c:pt idx="50">
                  <c:v>1.5670866531017391E-12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C-4F4D-8FBE-357B2701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685792"/>
        <c:axId val="271729504"/>
      </c:lineChart>
      <c:catAx>
        <c:axId val="19296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29504"/>
        <c:crosses val="autoZero"/>
        <c:auto val="1"/>
        <c:lblAlgn val="ctr"/>
        <c:lblOffset val="100"/>
        <c:noMultiLvlLbl val="0"/>
      </c:catAx>
      <c:valAx>
        <c:axId val="2717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857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666749</xdr:colOff>
      <xdr:row>19</xdr:row>
      <xdr:rowOff>80432</xdr:rowOff>
    </xdr:from>
    <xdr:to>
      <xdr:col>11</xdr:col>
      <xdr:colOff>285748</xdr:colOff>
      <xdr:row>32</xdr:row>
      <xdr:rowOff>182032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B399-10F0-FC94-EA12-27BE7CEE1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677333</xdr:colOff>
      <xdr:row>4</xdr:row>
      <xdr:rowOff>135467</xdr:rowOff>
    </xdr:from>
    <xdr:to>
      <xdr:col>11</xdr:col>
      <xdr:colOff>296332</xdr:colOff>
      <xdr:row>18</xdr:row>
      <xdr:rowOff>33867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EDE40D-4E4C-2145-9392-A7BF7B1E7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602959</xdr:colOff>
      <xdr:row>4</xdr:row>
      <xdr:rowOff>79686</xdr:rowOff>
    </xdr:from>
    <xdr:to>
      <xdr:col>21</xdr:col>
      <xdr:colOff>185272</xdr:colOff>
      <xdr:row>17</xdr:row>
      <xdr:rowOff>192906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112EB3-9EE9-2B27-17B0-3BAA8EA68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590175</xdr:colOff>
      <xdr:row>18</xdr:row>
      <xdr:rowOff>70224</xdr:rowOff>
    </xdr:from>
    <xdr:to>
      <xdr:col>21</xdr:col>
      <xdr:colOff>231587</xdr:colOff>
      <xdr:row>31</xdr:row>
      <xdr:rowOff>94129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868D55-BC68-99E9-208E-868A979EC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626534</xdr:colOff>
      <xdr:row>32</xdr:row>
      <xdr:rowOff>135466</xdr:rowOff>
    </xdr:from>
    <xdr:to>
      <xdr:col>21</xdr:col>
      <xdr:colOff>208847</xdr:colOff>
      <xdr:row>46</xdr:row>
      <xdr:rowOff>45486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8C35C0-02EB-724F-92B0-F14B8C10D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90C0-D687-DD46-906D-75E84C940B7B}">
  <dimension ref="B2:O56"/>
  <sheetViews>
    <sheetView tabSelected="1" zoomScale="75" workbookViewId="0">
      <selection activeCell="G39" sqref="G39"/>
    </sheetView>
  </sheetViews>
  <sheetFormatPr baseColWidth="10" defaultRowHeight="16" x14ac:dyDescent="0.2"/>
  <cols>
    <col min="3" max="3" width="12.1640625" bestFit="1" customWidth="1"/>
    <col min="4" max="4" width="13.6640625" bestFit="1" customWidth="1"/>
    <col min="14" max="14" width="13.6640625" bestFit="1" customWidth="1"/>
    <col min="15" max="15" width="12.6640625" bestFit="1" customWidth="1"/>
  </cols>
  <sheetData>
    <row r="2" spans="2:15" x14ac:dyDescent="0.2">
      <c r="B2" t="s">
        <v>0</v>
      </c>
      <c r="C2">
        <v>0</v>
      </c>
      <c r="N2" t="s">
        <v>2</v>
      </c>
      <c r="O2">
        <v>50</v>
      </c>
    </row>
    <row r="3" spans="2:15" x14ac:dyDescent="0.2">
      <c r="B3" t="s">
        <v>1</v>
      </c>
      <c r="C3">
        <v>1</v>
      </c>
      <c r="N3" t="s">
        <v>3</v>
      </c>
      <c r="O3">
        <v>0.5</v>
      </c>
    </row>
    <row r="6" spans="2:15" x14ac:dyDescent="0.2">
      <c r="M6">
        <v>0</v>
      </c>
      <c r="N6">
        <f>_xlfn.BINOM.DIST(M6, $O$2, $O$3, FALSE)</f>
        <v>8.8817841970012444E-16</v>
      </c>
      <c r="O6">
        <f>_xlfn.NORM.DIST(M6, $O$2*$O$3, SQRT($O$2*$O$3*(1-$O$3)),FALSE)</f>
        <v>1.5670866531017391E-12</v>
      </c>
    </row>
    <row r="7" spans="2:15" x14ac:dyDescent="0.2">
      <c r="B7">
        <v>-5</v>
      </c>
      <c r="C7">
        <f>_xlfn.NORM.DIST(B7, $C$2, $C$3, FALSE)</f>
        <v>1.4867195147342977E-6</v>
      </c>
      <c r="D7">
        <f>_xlfn.NORM.DIST(B7, $C$2, $C$3, TRUE)</f>
        <v>2.8665157187919333E-7</v>
      </c>
      <c r="M7">
        <v>1</v>
      </c>
      <c r="N7">
        <f t="shared" ref="N7:N56" si="0">_xlfn.BINOM.DIST(M7, $O$2, $O$3, FALSE)</f>
        <v>4.4408920985006533E-14</v>
      </c>
      <c r="O7">
        <f t="shared" ref="O7:O56" si="1">_xlfn.NORM.DIST(M7, $O$2*$O$3, SQRT($O$2*$O$3*(1-$O$3)),FALSE)</f>
        <v>1.1125260689810869E-11</v>
      </c>
    </row>
    <row r="8" spans="2:15" x14ac:dyDescent="0.2">
      <c r="B8">
        <v>-4.75</v>
      </c>
      <c r="C8">
        <f>_xlfn.NORM.DIST(B8, $C$2, $C$3, FALSE)</f>
        <v>5.0295072885924454E-6</v>
      </c>
      <c r="D8">
        <f t="shared" ref="D8:D47" si="2">_xlfn.NORM.DIST(B8, $C$2, $C$3, TRUE)</f>
        <v>1.0170832425687034E-6</v>
      </c>
      <c r="M8">
        <v>2</v>
      </c>
      <c r="N8">
        <f t="shared" si="0"/>
        <v>1.0880185641326522E-12</v>
      </c>
      <c r="O8">
        <f t="shared" si="1"/>
        <v>7.290945002381978E-11</v>
      </c>
    </row>
    <row r="9" spans="2:15" x14ac:dyDescent="0.2">
      <c r="B9">
        <v>-4.5</v>
      </c>
      <c r="C9">
        <f>_xlfn.NORM.DIST(B9, $C$2, $C$3, FALSE)</f>
        <v>1.5983741106905475E-5</v>
      </c>
      <c r="D9">
        <f t="shared" si="2"/>
        <v>3.3976731247300535E-6</v>
      </c>
      <c r="M9">
        <v>3</v>
      </c>
      <c r="N9">
        <f t="shared" si="0"/>
        <v>1.7408297026122522E-11</v>
      </c>
      <c r="O9">
        <f t="shared" si="1"/>
        <v>4.4107646946834241E-10</v>
      </c>
    </row>
    <row r="10" spans="2:15" x14ac:dyDescent="0.2">
      <c r="B10">
        <v>-4.25</v>
      </c>
      <c r="C10">
        <f>_xlfn.NORM.DIST(B10, $C$2, $C$3, FALSE)</f>
        <v>4.7718636541204952E-5</v>
      </c>
      <c r="D10">
        <f t="shared" si="2"/>
        <v>1.06885257749344E-5</v>
      </c>
      <c r="M10">
        <v>4</v>
      </c>
      <c r="N10">
        <f t="shared" si="0"/>
        <v>2.0454749005693866E-10</v>
      </c>
      <c r="O10">
        <f t="shared" si="1"/>
        <v>2.4632040986683438E-9</v>
      </c>
    </row>
    <row r="11" spans="2:15" x14ac:dyDescent="0.2">
      <c r="B11">
        <v>-4</v>
      </c>
      <c r="C11">
        <f>_xlfn.NORM.DIST(B11, $C$2, $C$3, FALSE)</f>
        <v>1.3383022576488537E-4</v>
      </c>
      <c r="D11">
        <f t="shared" si="2"/>
        <v>3.1671241833119857E-5</v>
      </c>
      <c r="M11">
        <v>5</v>
      </c>
      <c r="N11">
        <f t="shared" si="0"/>
        <v>1.8818369085238295E-9</v>
      </c>
      <c r="O11">
        <f t="shared" si="1"/>
        <v>1.2698234671866602E-8</v>
      </c>
    </row>
    <row r="12" spans="2:15" x14ac:dyDescent="0.2">
      <c r="B12">
        <v>-3.75</v>
      </c>
      <c r="C12">
        <f>_xlfn.NORM.DIST(B12, $C$2, $C$3, FALSE)</f>
        <v>3.5259568236744541E-4</v>
      </c>
      <c r="D12">
        <f t="shared" si="2"/>
        <v>8.841728520080376E-5</v>
      </c>
      <c r="M12">
        <v>6</v>
      </c>
      <c r="N12">
        <f t="shared" si="0"/>
        <v>1.411377681392873E-8</v>
      </c>
      <c r="O12">
        <f t="shared" si="1"/>
        <v>6.0428628932224707E-8</v>
      </c>
    </row>
    <row r="13" spans="2:15" x14ac:dyDescent="0.2">
      <c r="B13">
        <v>-3.5</v>
      </c>
      <c r="C13">
        <f>_xlfn.NORM.DIST(B13, $C$2, $C$3, FALSE)</f>
        <v>8.7268269504576015E-4</v>
      </c>
      <c r="D13">
        <f t="shared" si="2"/>
        <v>2.3262907903552504E-4</v>
      </c>
      <c r="M13">
        <v>7</v>
      </c>
      <c r="N13">
        <f t="shared" si="0"/>
        <v>8.8715168544695043E-8</v>
      </c>
      <c r="O13">
        <f t="shared" si="1"/>
        <v>2.6545968447165893E-7</v>
      </c>
    </row>
    <row r="14" spans="2:15" x14ac:dyDescent="0.2">
      <c r="B14">
        <v>-3.25</v>
      </c>
      <c r="C14">
        <f>_xlfn.NORM.DIST(B14, $C$2, $C$3, FALSE)</f>
        <v>2.0290480572997681E-3</v>
      </c>
      <c r="D14">
        <f t="shared" si="2"/>
        <v>5.7702504239076603E-4</v>
      </c>
      <c r="M14">
        <v>8</v>
      </c>
      <c r="N14">
        <f t="shared" si="0"/>
        <v>4.7684403092773675E-7</v>
      </c>
      <c r="O14">
        <f t="shared" si="1"/>
        <v>1.0764921036680712E-6</v>
      </c>
    </row>
    <row r="15" spans="2:15" x14ac:dyDescent="0.2">
      <c r="B15">
        <v>-3</v>
      </c>
      <c r="C15">
        <f>_xlfn.NORM.DIST(B15, $C$2, $C$3, FALSE)</f>
        <v>4.4318484119380075E-3</v>
      </c>
      <c r="D15">
        <f t="shared" si="2"/>
        <v>1.3498980316300933E-3</v>
      </c>
      <c r="M15">
        <v>9</v>
      </c>
      <c r="N15">
        <f t="shared" si="0"/>
        <v>2.225272144329444E-6</v>
      </c>
      <c r="O15">
        <f t="shared" si="1"/>
        <v>4.0297635533235608E-6</v>
      </c>
    </row>
    <row r="16" spans="2:15" x14ac:dyDescent="0.2">
      <c r="B16">
        <v>-2.75</v>
      </c>
      <c r="C16">
        <f>_xlfn.NORM.DIST(B16, $C$2, $C$3, FALSE)</f>
        <v>9.0935625015910529E-3</v>
      </c>
      <c r="D16">
        <f t="shared" si="2"/>
        <v>2.9797632350545551E-3</v>
      </c>
      <c r="M16">
        <f>M15+1</f>
        <v>10</v>
      </c>
      <c r="N16">
        <f t="shared" si="0"/>
        <v>9.1236157917506673E-6</v>
      </c>
      <c r="O16">
        <f t="shared" si="1"/>
        <v>1.3925305194674811E-5</v>
      </c>
    </row>
    <row r="17" spans="2:15" x14ac:dyDescent="0.2">
      <c r="B17">
        <v>-2.5</v>
      </c>
      <c r="C17">
        <f>_xlfn.NORM.DIST(B17, $C$2, $C$3, FALSE)</f>
        <v>1.752830049356854E-2</v>
      </c>
      <c r="D17">
        <f t="shared" si="2"/>
        <v>6.2096653257761331E-3</v>
      </c>
      <c r="M17">
        <f t="shared" ref="M17:M59" si="3">M16+1</f>
        <v>11</v>
      </c>
      <c r="N17">
        <f t="shared" si="0"/>
        <v>3.3176784697275137E-5</v>
      </c>
      <c r="O17">
        <f t="shared" si="1"/>
        <v>4.4420794420566709E-5</v>
      </c>
    </row>
    <row r="18" spans="2:15" x14ac:dyDescent="0.2">
      <c r="B18">
        <v>-2.25</v>
      </c>
      <c r="C18">
        <f>_xlfn.NORM.DIST(B18, $C$2, $C$3, FALSE)</f>
        <v>3.1739651835667418E-2</v>
      </c>
      <c r="D18">
        <f t="shared" si="2"/>
        <v>1.2224472655044696E-2</v>
      </c>
      <c r="M18">
        <f t="shared" si="3"/>
        <v>12</v>
      </c>
      <c r="N18">
        <f t="shared" si="0"/>
        <v>1.0782455026614464E-4</v>
      </c>
      <c r="O18">
        <f t="shared" si="1"/>
        <v>1.3080500497232819E-4</v>
      </c>
    </row>
    <row r="19" spans="2:15" x14ac:dyDescent="0.2">
      <c r="B19">
        <v>-2</v>
      </c>
      <c r="C19">
        <f>_xlfn.NORM.DIST(B19, $C$2, $C$3, FALSE)</f>
        <v>5.3990966513188063E-2</v>
      </c>
      <c r="D19">
        <f t="shared" si="2"/>
        <v>2.2750131948179191E-2</v>
      </c>
      <c r="M19">
        <f t="shared" si="3"/>
        <v>13</v>
      </c>
      <c r="N19">
        <f t="shared" si="0"/>
        <v>3.1517945462411457E-4</v>
      </c>
      <c r="O19">
        <f t="shared" si="1"/>
        <v>3.5556486808777484E-4</v>
      </c>
    </row>
    <row r="20" spans="2:15" x14ac:dyDescent="0.2">
      <c r="B20">
        <v>-1.75</v>
      </c>
      <c r="C20">
        <f>_xlfn.NORM.DIST(B20, $C$2, $C$3, FALSE)</f>
        <v>8.6277318826511532E-2</v>
      </c>
      <c r="D20">
        <f t="shared" si="2"/>
        <v>4.00591568638171E-2</v>
      </c>
      <c r="M20">
        <f t="shared" si="3"/>
        <v>14</v>
      </c>
      <c r="N20">
        <f t="shared" si="0"/>
        <v>8.3297427293515961E-4</v>
      </c>
      <c r="O20">
        <f t="shared" si="1"/>
        <v>8.9221550649162058E-4</v>
      </c>
    </row>
    <row r="21" spans="2:15" x14ac:dyDescent="0.2">
      <c r="B21">
        <v>-1.5</v>
      </c>
      <c r="C21">
        <f>_xlfn.NORM.DIST(B21, $C$2, $C$3, FALSE)</f>
        <v>0.12951759566589174</v>
      </c>
      <c r="D21">
        <f t="shared" si="2"/>
        <v>6.6807201268858057E-2</v>
      </c>
      <c r="M21">
        <f t="shared" si="3"/>
        <v>15</v>
      </c>
      <c r="N21">
        <f t="shared" si="0"/>
        <v>1.9991382550443907E-3</v>
      </c>
      <c r="O21">
        <f t="shared" si="1"/>
        <v>2.066698535409207E-3</v>
      </c>
    </row>
    <row r="22" spans="2:15" x14ac:dyDescent="0.2">
      <c r="B22">
        <v>-1.25</v>
      </c>
      <c r="C22">
        <f>_xlfn.NORM.DIST(B22, $C$2, $C$3, FALSE)</f>
        <v>0.18264908538902191</v>
      </c>
      <c r="D22">
        <f t="shared" si="2"/>
        <v>0.10564977366685525</v>
      </c>
      <c r="M22">
        <f t="shared" si="3"/>
        <v>16</v>
      </c>
      <c r="N22">
        <f t="shared" si="0"/>
        <v>4.3731149329095925E-3</v>
      </c>
      <c r="O22">
        <f t="shared" si="1"/>
        <v>4.4191723332011063E-3</v>
      </c>
    </row>
    <row r="23" spans="2:15" x14ac:dyDescent="0.2">
      <c r="B23">
        <v>-1</v>
      </c>
      <c r="C23">
        <f>_xlfn.NORM.DIST(B23, $C$2, $C$3, FALSE)</f>
        <v>0.24197072451914337</v>
      </c>
      <c r="D23">
        <f t="shared" si="2"/>
        <v>0.15865525393145699</v>
      </c>
      <c r="M23">
        <f t="shared" si="3"/>
        <v>17</v>
      </c>
      <c r="N23">
        <f t="shared" si="0"/>
        <v>8.7462298658191901E-3</v>
      </c>
      <c r="O23">
        <f t="shared" si="1"/>
        <v>8.7229058633945342E-3</v>
      </c>
    </row>
    <row r="24" spans="2:15" x14ac:dyDescent="0.2">
      <c r="B24">
        <v>-0.75</v>
      </c>
      <c r="C24">
        <f>_xlfn.NORM.DIST(B24, $C$2, $C$3, FALSE)</f>
        <v>0.30113743215480443</v>
      </c>
      <c r="D24">
        <f t="shared" si="2"/>
        <v>0.22662735237686821</v>
      </c>
      <c r="M24">
        <f t="shared" si="3"/>
        <v>18</v>
      </c>
      <c r="N24">
        <f t="shared" si="0"/>
        <v>1.6034754754001849E-2</v>
      </c>
      <c r="O24">
        <f t="shared" si="1"/>
        <v>1.589417076772779E-2</v>
      </c>
    </row>
    <row r="25" spans="2:15" x14ac:dyDescent="0.2">
      <c r="B25">
        <v>-0.5</v>
      </c>
      <c r="C25">
        <f>_xlfn.NORM.DIST(B25, $C$2, $C$3, FALSE)</f>
        <v>0.35206532676429952</v>
      </c>
      <c r="D25">
        <f t="shared" si="2"/>
        <v>0.30853753872598688</v>
      </c>
      <c r="M25">
        <f t="shared" si="3"/>
        <v>19</v>
      </c>
      <c r="N25">
        <f t="shared" si="0"/>
        <v>2.7005902743582024E-2</v>
      </c>
      <c r="O25">
        <f t="shared" si="1"/>
        <v>2.6734434700353919E-2</v>
      </c>
    </row>
    <row r="26" spans="2:15" x14ac:dyDescent="0.2">
      <c r="B26">
        <v>-0.25</v>
      </c>
      <c r="C26">
        <f>_xlfn.NORM.DIST(B26, $C$2, $C$3, FALSE)</f>
        <v>0.38666811680284924</v>
      </c>
      <c r="D26">
        <f t="shared" si="2"/>
        <v>0.4012936743170763</v>
      </c>
      <c r="M26">
        <f t="shared" si="3"/>
        <v>20</v>
      </c>
      <c r="N26">
        <f t="shared" si="0"/>
        <v>4.1859149252552186E-2</v>
      </c>
      <c r="O26">
        <f t="shared" si="1"/>
        <v>4.1510749742059476E-2</v>
      </c>
    </row>
    <row r="27" spans="2:15" x14ac:dyDescent="0.2">
      <c r="B27">
        <v>0</v>
      </c>
      <c r="C27">
        <f>_xlfn.NORM.DIST(B27, $C$2, $C$3, FALSE)</f>
        <v>0.3989422804014327</v>
      </c>
      <c r="D27">
        <f t="shared" si="2"/>
        <v>0.5</v>
      </c>
      <c r="M27">
        <f t="shared" si="3"/>
        <v>21</v>
      </c>
      <c r="N27">
        <f t="shared" si="0"/>
        <v>5.9798784646503088E-2</v>
      </c>
      <c r="O27">
        <f t="shared" si="1"/>
        <v>5.9498578625746895E-2</v>
      </c>
    </row>
    <row r="28" spans="2:15" x14ac:dyDescent="0.2">
      <c r="B28">
        <v>0.25</v>
      </c>
      <c r="C28">
        <f>_xlfn.NORM.DIST(B28, $C$2, $C$3, FALSE)</f>
        <v>0.38666811680284924</v>
      </c>
      <c r="D28">
        <f t="shared" si="2"/>
        <v>0.5987063256829237</v>
      </c>
      <c r="M28">
        <f t="shared" si="3"/>
        <v>22</v>
      </c>
      <c r="N28">
        <f t="shared" si="0"/>
        <v>7.882567067039048E-2</v>
      </c>
      <c r="O28">
        <f t="shared" si="1"/>
        <v>7.8724343171428721E-2</v>
      </c>
    </row>
    <row r="29" spans="2:15" x14ac:dyDescent="0.2">
      <c r="B29">
        <v>0.5</v>
      </c>
      <c r="C29">
        <f>_xlfn.NORM.DIST(B29, $C$2, $C$3, FALSE)</f>
        <v>0.35206532676429952</v>
      </c>
      <c r="D29">
        <f t="shared" si="2"/>
        <v>0.69146246127401312</v>
      </c>
      <c r="M29">
        <f t="shared" si="3"/>
        <v>23</v>
      </c>
      <c r="N29">
        <f t="shared" si="0"/>
        <v>9.5961686033518831E-2</v>
      </c>
      <c r="O29">
        <f t="shared" si="1"/>
        <v>9.6154129883930781E-2</v>
      </c>
    </row>
    <row r="30" spans="2:15" x14ac:dyDescent="0.2">
      <c r="B30">
        <v>0.75</v>
      </c>
      <c r="C30">
        <f>_xlfn.NORM.DIST(B30, $C$2, $C$3, FALSE)</f>
        <v>0.30113743215480443</v>
      </c>
      <c r="D30">
        <f t="shared" si="2"/>
        <v>0.77337264762313174</v>
      </c>
      <c r="M30">
        <f t="shared" si="3"/>
        <v>24</v>
      </c>
      <c r="N30">
        <f t="shared" si="0"/>
        <v>0.10795689678770866</v>
      </c>
      <c r="O30">
        <f t="shared" si="1"/>
        <v>0.1084134787104863</v>
      </c>
    </row>
    <row r="31" spans="2:15" x14ac:dyDescent="0.2">
      <c r="B31">
        <v>1</v>
      </c>
      <c r="C31">
        <f>_xlfn.NORM.DIST(B31, $C$2, $C$3, FALSE)</f>
        <v>0.24197072451914337</v>
      </c>
      <c r="D31">
        <f t="shared" si="2"/>
        <v>0.84134474606854304</v>
      </c>
      <c r="M31">
        <f t="shared" si="3"/>
        <v>25</v>
      </c>
      <c r="N31">
        <f t="shared" si="0"/>
        <v>0.11227517265921706</v>
      </c>
      <c r="O31">
        <f t="shared" si="1"/>
        <v>0.11283791670955126</v>
      </c>
    </row>
    <row r="32" spans="2:15" x14ac:dyDescent="0.2">
      <c r="B32">
        <v>1.25</v>
      </c>
      <c r="C32">
        <f>_xlfn.NORM.DIST(B32, $C$2, $C$3, FALSE)</f>
        <v>0.18264908538902191</v>
      </c>
      <c r="D32">
        <f t="shared" si="2"/>
        <v>0.89435022633314476</v>
      </c>
      <c r="M32">
        <f t="shared" si="3"/>
        <v>26</v>
      </c>
      <c r="N32">
        <f t="shared" si="0"/>
        <v>0.10795689678770866</v>
      </c>
      <c r="O32">
        <f t="shared" si="1"/>
        <v>0.1084134787104863</v>
      </c>
    </row>
    <row r="33" spans="2:15" x14ac:dyDescent="0.2">
      <c r="B33">
        <v>1.5</v>
      </c>
      <c r="C33">
        <f>_xlfn.NORM.DIST(B33, $C$2, $C$3, FALSE)</f>
        <v>0.12951759566589174</v>
      </c>
      <c r="D33">
        <f t="shared" si="2"/>
        <v>0.93319279873114191</v>
      </c>
      <c r="M33">
        <f t="shared" si="3"/>
        <v>27</v>
      </c>
      <c r="N33">
        <f t="shared" si="0"/>
        <v>9.5961686033518831E-2</v>
      </c>
      <c r="O33">
        <f t="shared" si="1"/>
        <v>9.6154129883930781E-2</v>
      </c>
    </row>
    <row r="34" spans="2:15" x14ac:dyDescent="0.2">
      <c r="B34">
        <v>1.75</v>
      </c>
      <c r="C34">
        <f>_xlfn.NORM.DIST(B34, $C$2, $C$3, FALSE)</f>
        <v>8.6277318826511532E-2</v>
      </c>
      <c r="D34">
        <f t="shared" si="2"/>
        <v>0.95994084313618289</v>
      </c>
      <c r="M34">
        <f t="shared" si="3"/>
        <v>28</v>
      </c>
      <c r="N34">
        <f t="shared" si="0"/>
        <v>7.882567067039048E-2</v>
      </c>
      <c r="O34">
        <f t="shared" si="1"/>
        <v>7.8724343171428721E-2</v>
      </c>
    </row>
    <row r="35" spans="2:15" x14ac:dyDescent="0.2">
      <c r="B35">
        <v>2</v>
      </c>
      <c r="C35">
        <f>_xlfn.NORM.DIST(B35, $C$2, $C$3, FALSE)</f>
        <v>5.3990966513188063E-2</v>
      </c>
      <c r="D35">
        <f t="shared" si="2"/>
        <v>0.97724986805182079</v>
      </c>
      <c r="M35">
        <f t="shared" si="3"/>
        <v>29</v>
      </c>
      <c r="N35">
        <f t="shared" si="0"/>
        <v>5.9798784646503088E-2</v>
      </c>
      <c r="O35">
        <f t="shared" si="1"/>
        <v>5.9498578625746895E-2</v>
      </c>
    </row>
    <row r="36" spans="2:15" x14ac:dyDescent="0.2">
      <c r="B36">
        <v>2.25</v>
      </c>
      <c r="C36">
        <f>_xlfn.NORM.DIST(B36, $C$2, $C$3, FALSE)</f>
        <v>3.1739651835667418E-2</v>
      </c>
      <c r="D36">
        <f t="shared" si="2"/>
        <v>0.98777552734495533</v>
      </c>
      <c r="M36">
        <f t="shared" si="3"/>
        <v>30</v>
      </c>
      <c r="N36">
        <f t="shared" si="0"/>
        <v>4.1859149252552186E-2</v>
      </c>
      <c r="O36">
        <f t="shared" si="1"/>
        <v>4.1510749742059476E-2</v>
      </c>
    </row>
    <row r="37" spans="2:15" x14ac:dyDescent="0.2">
      <c r="B37">
        <v>2.5</v>
      </c>
      <c r="C37">
        <f>_xlfn.NORM.DIST(B37, $C$2, $C$3, FALSE)</f>
        <v>1.752830049356854E-2</v>
      </c>
      <c r="D37">
        <f t="shared" si="2"/>
        <v>0.99379033467422384</v>
      </c>
      <c r="M37">
        <f t="shared" si="3"/>
        <v>31</v>
      </c>
      <c r="N37">
        <f t="shared" si="0"/>
        <v>2.7005902743582024E-2</v>
      </c>
      <c r="O37">
        <f t="shared" si="1"/>
        <v>2.6734434700353919E-2</v>
      </c>
    </row>
    <row r="38" spans="2:15" x14ac:dyDescent="0.2">
      <c r="B38">
        <v>2.75</v>
      </c>
      <c r="C38">
        <f>_xlfn.NORM.DIST(B38, $C$2, $C$3, FALSE)</f>
        <v>9.0935625015910529E-3</v>
      </c>
      <c r="D38">
        <f t="shared" si="2"/>
        <v>0.99702023676494544</v>
      </c>
      <c r="M38">
        <f t="shared" si="3"/>
        <v>32</v>
      </c>
      <c r="N38">
        <f t="shared" si="0"/>
        <v>1.6034754754001849E-2</v>
      </c>
      <c r="O38">
        <f t="shared" si="1"/>
        <v>1.589417076772779E-2</v>
      </c>
    </row>
    <row r="39" spans="2:15" x14ac:dyDescent="0.2">
      <c r="B39">
        <v>3</v>
      </c>
      <c r="C39">
        <f>_xlfn.NORM.DIST(B39, $C$2, $C$3, FALSE)</f>
        <v>4.4318484119380075E-3</v>
      </c>
      <c r="D39">
        <f t="shared" si="2"/>
        <v>0.9986501019683699</v>
      </c>
      <c r="M39">
        <f t="shared" si="3"/>
        <v>33</v>
      </c>
      <c r="N39">
        <f t="shared" si="0"/>
        <v>8.7462298658191901E-3</v>
      </c>
      <c r="O39">
        <f t="shared" si="1"/>
        <v>8.7229058633945342E-3</v>
      </c>
    </row>
    <row r="40" spans="2:15" x14ac:dyDescent="0.2">
      <c r="B40">
        <v>3.25</v>
      </c>
      <c r="C40">
        <f>_xlfn.NORM.DIST(B40, $C$2, $C$3, FALSE)</f>
        <v>2.0290480572997681E-3</v>
      </c>
      <c r="D40">
        <f t="shared" si="2"/>
        <v>0.99942297495760923</v>
      </c>
      <c r="M40">
        <f t="shared" si="3"/>
        <v>34</v>
      </c>
      <c r="N40">
        <f t="shared" si="0"/>
        <v>4.3731149329095925E-3</v>
      </c>
      <c r="O40">
        <f t="shared" si="1"/>
        <v>4.4191723332011063E-3</v>
      </c>
    </row>
    <row r="41" spans="2:15" x14ac:dyDescent="0.2">
      <c r="B41">
        <v>3.5</v>
      </c>
      <c r="C41">
        <f>_xlfn.NORM.DIST(B41, $C$2, $C$3, FALSE)</f>
        <v>8.7268269504576015E-4</v>
      </c>
      <c r="D41">
        <f t="shared" si="2"/>
        <v>0.99976737092096446</v>
      </c>
      <c r="M41">
        <f t="shared" si="3"/>
        <v>35</v>
      </c>
      <c r="N41">
        <f t="shared" si="0"/>
        <v>1.9991382550443907E-3</v>
      </c>
      <c r="O41">
        <f t="shared" si="1"/>
        <v>2.066698535409207E-3</v>
      </c>
    </row>
    <row r="42" spans="2:15" x14ac:dyDescent="0.2">
      <c r="B42">
        <v>3.75</v>
      </c>
      <c r="C42">
        <f>_xlfn.NORM.DIST(B42, $C$2, $C$3, FALSE)</f>
        <v>3.5259568236744541E-4</v>
      </c>
      <c r="D42">
        <f t="shared" si="2"/>
        <v>0.99991158271479919</v>
      </c>
      <c r="M42">
        <f t="shared" si="3"/>
        <v>36</v>
      </c>
      <c r="N42">
        <f t="shared" si="0"/>
        <v>8.3297427293516015E-4</v>
      </c>
      <c r="O42">
        <f t="shared" si="1"/>
        <v>8.9221550649162058E-4</v>
      </c>
    </row>
    <row r="43" spans="2:15" x14ac:dyDescent="0.2">
      <c r="B43">
        <v>4</v>
      </c>
      <c r="C43">
        <f>_xlfn.NORM.DIST(B43, $C$2, $C$3, FALSE)</f>
        <v>1.3383022576488537E-4</v>
      </c>
      <c r="D43">
        <f t="shared" si="2"/>
        <v>0.99996832875816688</v>
      </c>
      <c r="M43">
        <f>M42+1</f>
        <v>37</v>
      </c>
      <c r="N43">
        <f t="shared" si="0"/>
        <v>3.1517945462411457E-4</v>
      </c>
      <c r="O43">
        <f t="shared" si="1"/>
        <v>3.5556486808777484E-4</v>
      </c>
    </row>
    <row r="44" spans="2:15" x14ac:dyDescent="0.2">
      <c r="B44">
        <v>4.25</v>
      </c>
      <c r="C44">
        <f>_xlfn.NORM.DIST(B44, $C$2, $C$3, FALSE)</f>
        <v>4.7718636541204952E-5</v>
      </c>
      <c r="D44">
        <f t="shared" si="2"/>
        <v>0.9999893114742251</v>
      </c>
      <c r="M44">
        <f t="shared" si="3"/>
        <v>38</v>
      </c>
      <c r="N44">
        <f t="shared" si="0"/>
        <v>1.0782455026614464E-4</v>
      </c>
      <c r="O44">
        <f t="shared" si="1"/>
        <v>1.3080500497232819E-4</v>
      </c>
    </row>
    <row r="45" spans="2:15" x14ac:dyDescent="0.2">
      <c r="B45">
        <v>4.5</v>
      </c>
      <c r="C45">
        <f>_xlfn.NORM.DIST(B45, $C$2, $C$3, FALSE)</f>
        <v>1.5983741106905475E-5</v>
      </c>
      <c r="D45">
        <f t="shared" si="2"/>
        <v>0.99999660232687526</v>
      </c>
      <c r="M45">
        <f t="shared" si="3"/>
        <v>39</v>
      </c>
      <c r="N45">
        <f t="shared" si="0"/>
        <v>3.3176784697275137E-5</v>
      </c>
      <c r="O45">
        <f t="shared" si="1"/>
        <v>4.4420794420566709E-5</v>
      </c>
    </row>
    <row r="46" spans="2:15" x14ac:dyDescent="0.2">
      <c r="B46">
        <v>4.75</v>
      </c>
      <c r="C46">
        <f>_xlfn.NORM.DIST(B46, $C$2, $C$3, FALSE)</f>
        <v>5.0295072885924454E-6</v>
      </c>
      <c r="D46">
        <f t="shared" si="2"/>
        <v>0.99999898291675748</v>
      </c>
      <c r="M46">
        <f t="shared" si="3"/>
        <v>40</v>
      </c>
      <c r="N46">
        <f t="shared" si="0"/>
        <v>9.1236157917506673E-6</v>
      </c>
      <c r="O46">
        <f t="shared" si="1"/>
        <v>1.3925305194674811E-5</v>
      </c>
    </row>
    <row r="47" spans="2:15" x14ac:dyDescent="0.2">
      <c r="B47">
        <v>5</v>
      </c>
      <c r="C47">
        <f>_xlfn.NORM.DIST(B47, $C$2, $C$3, FALSE)</f>
        <v>1.4867195147342977E-6</v>
      </c>
      <c r="D47">
        <f t="shared" si="2"/>
        <v>0.99999971334842808</v>
      </c>
      <c r="M47">
        <f t="shared" si="3"/>
        <v>41</v>
      </c>
      <c r="N47">
        <f t="shared" si="0"/>
        <v>2.225272144329444E-6</v>
      </c>
      <c r="O47">
        <f t="shared" si="1"/>
        <v>4.0297635533235608E-6</v>
      </c>
    </row>
    <row r="48" spans="2:15" x14ac:dyDescent="0.2">
      <c r="M48">
        <f t="shared" si="3"/>
        <v>42</v>
      </c>
      <c r="N48">
        <f t="shared" si="0"/>
        <v>4.7684403092773675E-7</v>
      </c>
      <c r="O48">
        <f t="shared" si="1"/>
        <v>1.0764921036680712E-6</v>
      </c>
    </row>
    <row r="49" spans="13:15" x14ac:dyDescent="0.2">
      <c r="M49">
        <f t="shared" si="3"/>
        <v>43</v>
      </c>
      <c r="N49">
        <f t="shared" si="0"/>
        <v>8.8715168544695043E-8</v>
      </c>
      <c r="O49">
        <f t="shared" si="1"/>
        <v>2.6545968447165893E-7</v>
      </c>
    </row>
    <row r="50" spans="13:15" x14ac:dyDescent="0.2">
      <c r="M50">
        <f t="shared" si="3"/>
        <v>44</v>
      </c>
      <c r="N50">
        <f t="shared" si="0"/>
        <v>1.411377681392873E-8</v>
      </c>
      <c r="O50">
        <f t="shared" si="1"/>
        <v>6.0428628932224707E-8</v>
      </c>
    </row>
    <row r="51" spans="13:15" x14ac:dyDescent="0.2">
      <c r="M51">
        <f t="shared" si="3"/>
        <v>45</v>
      </c>
      <c r="N51">
        <f t="shared" si="0"/>
        <v>1.8818369085238295E-9</v>
      </c>
      <c r="O51">
        <f t="shared" si="1"/>
        <v>1.2698234671866602E-8</v>
      </c>
    </row>
    <row r="52" spans="13:15" x14ac:dyDescent="0.2">
      <c r="M52">
        <f>M51+1</f>
        <v>46</v>
      </c>
      <c r="N52">
        <f t="shared" si="0"/>
        <v>2.0454749005693866E-10</v>
      </c>
      <c r="O52">
        <f t="shared" si="1"/>
        <v>2.4632040986683438E-9</v>
      </c>
    </row>
    <row r="53" spans="13:15" x14ac:dyDescent="0.2">
      <c r="M53">
        <f t="shared" si="3"/>
        <v>47</v>
      </c>
      <c r="N53">
        <f t="shared" si="0"/>
        <v>1.7408297026122522E-11</v>
      </c>
      <c r="O53">
        <f t="shared" si="1"/>
        <v>4.4107646946834241E-10</v>
      </c>
    </row>
    <row r="54" spans="13:15" x14ac:dyDescent="0.2">
      <c r="M54">
        <f t="shared" si="3"/>
        <v>48</v>
      </c>
      <c r="N54">
        <f t="shared" si="0"/>
        <v>1.088018564132656E-12</v>
      </c>
      <c r="O54">
        <f t="shared" si="1"/>
        <v>7.290945002381978E-11</v>
      </c>
    </row>
    <row r="55" spans="13:15" x14ac:dyDescent="0.2">
      <c r="M55">
        <f t="shared" si="3"/>
        <v>49</v>
      </c>
      <c r="N55">
        <f t="shared" si="0"/>
        <v>4.4408920985006533E-14</v>
      </c>
      <c r="O55">
        <f t="shared" si="1"/>
        <v>1.1125260689810869E-11</v>
      </c>
    </row>
    <row r="56" spans="13:15" x14ac:dyDescent="0.2">
      <c r="M56">
        <f t="shared" si="3"/>
        <v>50</v>
      </c>
      <c r="N56">
        <f t="shared" si="0"/>
        <v>8.8817841970012444E-16</v>
      </c>
      <c r="O56">
        <f t="shared" si="1"/>
        <v>1.5670866531017391E-12</v>
      </c>
    </row>
  </sheetData>
  <sortState xmlns:xlrd2="http://schemas.microsoft.com/office/spreadsheetml/2017/richdata2" ref="B7:C47">
    <sortCondition ref="B7:B4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Steckles</dc:creator>
  <cp:lastModifiedBy>Katie Steckles</cp:lastModifiedBy>
  <dcterms:created xsi:type="dcterms:W3CDTF">2026-02-11T12:29:27Z</dcterms:created>
  <dcterms:modified xsi:type="dcterms:W3CDTF">2026-02-11T14:44:24Z</dcterms:modified>
</cp:coreProperties>
</file>