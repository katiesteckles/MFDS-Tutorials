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55130566/Documents/GitHub/MFDS-Tutorials/resources/"/>
    </mc:Choice>
  </mc:AlternateContent>
  <xr:revisionPtr revIDLastSave="0" documentId="13_ncr:1_{16A7ACA2-3DCD-CE43-A468-00C2CF157BCA}" xr6:coauthVersionLast="47" xr6:coauthVersionMax="47" xr10:uidLastSave="{00000000-0000-0000-0000-000000000000}"/>
  <bookViews>
    <workbookView xWindow="280" yWindow="760" windowWidth="29960" windowHeight="16980" activeTab="3" xr2:uid="{CDBAFE4F-F28F-2F42-AF48-A4A2FC61B4F7}"/>
  </bookViews>
  <sheets>
    <sheet name="Exercise 9" sheetId="1" r:id="rId1"/>
    <sheet name="Exercise 10 (a-c)" sheetId="2" r:id="rId2"/>
    <sheet name="Exercise 10 (d-h)" sheetId="4" r:id="rId3"/>
    <sheet name="Exercise 11" sheetId="3" r:id="rId4"/>
  </sheets>
  <definedNames>
    <definedName name="_xlchart.v1.0" hidden="1">'Exercise 9'!$B$2:$B$21</definedName>
    <definedName name="_xlchart.v1.1" hidden="1">'Exercise 9'!$B$2:$B$21</definedName>
    <definedName name="tut2_data1" localSheetId="0">'Exercise 9'!$B$1:$F$21</definedName>
    <definedName name="tut2_data2a" localSheetId="1">'Exercise 10 (a-c)'!$A$1:$D$51</definedName>
    <definedName name="tut2_data2b" localSheetId="2">'Exercise 10 (d-h)'!$C$1:$K$15</definedName>
    <definedName name="tut2_data3" localSheetId="3">'Exercise 11'!$B$21:$AA$163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B4" i="3"/>
  <c r="B3" i="3"/>
  <c r="S19" i="4"/>
  <c r="S18" i="4"/>
  <c r="R19" i="4"/>
  <c r="R18" i="4"/>
  <c r="Q19" i="4"/>
  <c r="Q18" i="4"/>
  <c r="P19" i="4"/>
  <c r="P18" i="4"/>
  <c r="S12" i="4"/>
  <c r="R12" i="4"/>
  <c r="Q12" i="4"/>
  <c r="P12" i="4"/>
  <c r="A4" i="4"/>
  <c r="B4" i="4"/>
  <c r="A5" i="4"/>
  <c r="B5" i="4"/>
  <c r="A6" i="4"/>
  <c r="B6" i="4"/>
  <c r="A7" i="4"/>
  <c r="B7" i="4"/>
  <c r="A8" i="4"/>
  <c r="B8" i="4"/>
  <c r="A9" i="4"/>
  <c r="B9" i="4"/>
  <c r="A10" i="4"/>
  <c r="B10" i="4"/>
  <c r="A11" i="4"/>
  <c r="B11" i="4"/>
  <c r="A12" i="4"/>
  <c r="B12" i="4"/>
  <c r="A13" i="4"/>
  <c r="B13" i="4"/>
  <c r="A14" i="4"/>
  <c r="B14" i="4"/>
  <c r="A15" i="4"/>
  <c r="B15" i="4"/>
  <c r="B3" i="4"/>
  <c r="A3" i="4"/>
  <c r="G16" i="4"/>
  <c r="I16" i="4"/>
  <c r="K16" i="4"/>
  <c r="E16" i="4"/>
  <c r="D3" i="4"/>
  <c r="H5" i="2"/>
  <c r="I5" i="2"/>
  <c r="J5" i="2"/>
  <c r="G5" i="2"/>
  <c r="H4" i="2"/>
  <c r="I4" i="2"/>
  <c r="J4" i="2"/>
  <c r="G4" i="2"/>
  <c r="H3" i="2"/>
  <c r="I3" i="2"/>
  <c r="J3" i="2"/>
  <c r="G3" i="2"/>
  <c r="H2" i="2"/>
  <c r="I2" i="2"/>
  <c r="J2" i="2"/>
  <c r="G2" i="2"/>
  <c r="C25" i="1"/>
  <c r="D25" i="1"/>
  <c r="E25" i="1"/>
  <c r="F25" i="1"/>
  <c r="B25" i="1"/>
  <c r="F23" i="1"/>
  <c r="E23" i="1"/>
  <c r="D23" i="1"/>
  <c r="C23" i="1"/>
  <c r="B23" i="1"/>
  <c r="D4" i="4" l="1"/>
  <c r="D5" i="4"/>
  <c r="D6" i="4" l="1"/>
  <c r="D7" i="4" l="1"/>
  <c r="D8" i="4" l="1"/>
  <c r="D9" i="4" l="1"/>
  <c r="D10" i="4" l="1"/>
  <c r="D11" i="4" l="1"/>
  <c r="D12" i="4" l="1"/>
  <c r="D13" i="4" l="1"/>
  <c r="D14" i="4" l="1"/>
  <c r="Q9" i="4" l="1"/>
  <c r="H14" i="4" s="1"/>
  <c r="D15" i="4"/>
  <c r="R9" i="4" l="1"/>
  <c r="J14" i="4" s="1"/>
  <c r="S9" i="4"/>
  <c r="P9" i="4"/>
  <c r="J13" i="4"/>
  <c r="J11" i="4"/>
  <c r="J10" i="4"/>
  <c r="J7" i="4"/>
  <c r="J6" i="4"/>
  <c r="J3" i="4"/>
  <c r="J4" i="4"/>
  <c r="J5" i="4"/>
  <c r="J2" i="4"/>
  <c r="J8" i="4"/>
  <c r="J9" i="4"/>
  <c r="J12" i="4"/>
  <c r="H13" i="4"/>
  <c r="H11" i="4"/>
  <c r="H10" i="4"/>
  <c r="H7" i="4"/>
  <c r="H4" i="4"/>
  <c r="H5" i="4"/>
  <c r="H2" i="4"/>
  <c r="H3" i="4"/>
  <c r="H6" i="4"/>
  <c r="H8" i="4"/>
  <c r="H9" i="4"/>
  <c r="H12" i="4"/>
  <c r="H15" i="4"/>
  <c r="J15" i="4"/>
  <c r="L14" i="4" l="1"/>
  <c r="L15" i="4"/>
  <c r="L11" i="4"/>
  <c r="L10" i="4"/>
  <c r="L7" i="4"/>
  <c r="L2" i="4"/>
  <c r="L5" i="4"/>
  <c r="L6" i="4"/>
  <c r="L3" i="4"/>
  <c r="L4" i="4"/>
  <c r="L8" i="4"/>
  <c r="L9" i="4"/>
  <c r="L12" i="4"/>
  <c r="L13" i="4"/>
  <c r="F14" i="4"/>
  <c r="F11" i="4"/>
  <c r="F7" i="4"/>
  <c r="F6" i="4"/>
  <c r="F13" i="4"/>
  <c r="F4" i="4"/>
  <c r="F5" i="4"/>
  <c r="F2" i="4"/>
  <c r="F3" i="4"/>
  <c r="F8" i="4"/>
  <c r="F9" i="4"/>
  <c r="F12" i="4"/>
  <c r="F15" i="4"/>
  <c r="F1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B08A73-F2D5-3947-A56B-FA7C186594A2}" name="tut2-data1" type="6" refreshedVersion="8" background="1" saveData="1">
    <textPr codePage="65001" sourceFile="/Users/55130566/Documents/GitHub/MFDS-Tutorials/resources/tut2-data1.csv" tab="0" comma="1">
      <textFields count="5">
        <textField/>
        <textField/>
        <textField/>
        <textField/>
        <textField/>
      </textFields>
    </textPr>
  </connection>
  <connection id="2" xr16:uid="{A807F13C-D312-344C-9240-D17783B22465}" name="tut2-data2a" type="6" refreshedVersion="8" background="1" saveData="1">
    <textPr codePage="10000" sourceFile="/Users/55130566/Documents/GitHub/MFDS-Tutorials/resources/tut2-data2a.csv" comma="1">
      <textFields count="4">
        <textField/>
        <textField/>
        <textField/>
        <textField/>
      </textFields>
    </textPr>
  </connection>
  <connection id="3" xr16:uid="{584F60FF-8840-4F40-A8E5-EC1A052E223C}" name="tut2-data2b" type="6" refreshedVersion="8" background="1" saveData="1">
    <textPr codePage="10000" sourceFile="/Users/55130566/Documents/GitHub/MFDS-Tutorials/resources/tut2-data2b.csv" tab="0" comma="1">
      <textFields count="5">
        <textField/>
        <textField/>
        <textField/>
        <textField/>
        <textField/>
      </textFields>
    </textPr>
  </connection>
  <connection id="4" xr16:uid="{27288690-6274-2A48-806E-9E3031E5986A}" name="tut2-data3" type="6" refreshedVersion="8" background="1" saveData="1">
    <textPr codePage="10000" sourceFile="/Users/55130566/Documents/GitHub/MFDS-Tutorials/resources/tut2-data3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<sst xmlns="http://schemas.openxmlformats.org/spreadsheetml/2006/main" count="102" uniqueCount="84">
  <si>
    <t>Dataset 1</t>
  </si>
  <si>
    <t>Dataset 2</t>
  </si>
  <si>
    <t>Dataset 3</t>
  </si>
  <si>
    <t>Dataset 4</t>
  </si>
  <si>
    <t>Dataset 5</t>
  </si>
  <si>
    <t>A</t>
  </si>
  <si>
    <t>B</t>
  </si>
  <si>
    <t>C</t>
  </si>
  <si>
    <t>D</t>
  </si>
  <si>
    <t>0.5-1</t>
  </si>
  <si>
    <t>1-1.5</t>
  </si>
  <si>
    <t>1.5-2</t>
  </si>
  <si>
    <t>2-2.5</t>
  </si>
  <si>
    <t>2.5-3</t>
  </si>
  <si>
    <t>3-3.5</t>
  </si>
  <si>
    <t>3.5-4</t>
  </si>
  <si>
    <t>4-4.5</t>
  </si>
  <si>
    <t>4.5-5</t>
  </si>
  <si>
    <t>5-5.5</t>
  </si>
  <si>
    <t>5.5-6</t>
  </si>
  <si>
    <t>6-6.5</t>
  </si>
  <si>
    <t>6.5-7</t>
  </si>
  <si>
    <t>7-7.5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</si>
  <si>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</si>
  <si>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</si>
  <si>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</si>
  <si>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</si>
  <si>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</si>
  <si>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</si>
  <si>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</si>
  <si>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</si>
  <si>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</si>
  <si>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</si>
  <si>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</si>
  <si>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</si>
  <si>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</si>
  <si>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</si>
  <si>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</si>
  <si>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</si>
  <si>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</si>
  <si>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</si>
  <si>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</si>
  <si>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</si>
  <si>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x11</t>
  </si>
  <si>
    <t>y11</t>
  </si>
  <si>
    <t>x12</t>
  </si>
  <si>
    <t>y12</t>
  </si>
  <si>
    <t>x13</t>
  </si>
  <si>
    <t>y13</t>
  </si>
  <si>
    <t>Estimate Mean</t>
  </si>
  <si>
    <t>Actual Mean</t>
  </si>
  <si>
    <t>Actual St. Dev</t>
  </si>
  <si>
    <t>Estimate St. Dev</t>
  </si>
  <si>
    <t>Largest</t>
  </si>
  <si>
    <t>Smallest</t>
  </si>
  <si>
    <t>Mean</t>
  </si>
  <si>
    <t>Median</t>
  </si>
  <si>
    <t>Mode</t>
  </si>
  <si>
    <t>St. Dev.</t>
  </si>
  <si>
    <t>Each dataset is centred around a different value (approximately 5, 3.5, 1.5 and 0.2).</t>
  </si>
  <si>
    <t>Datasets 1 and 2 are more spread out, while datasets 3 and 4 are more tightly clustered around their means.</t>
  </si>
  <si>
    <t>Smallest mean:</t>
  </si>
  <si>
    <t>Predictions</t>
  </si>
  <si>
    <t>Largest mean:</t>
  </si>
  <si>
    <t>Largest st.dev:</t>
  </si>
  <si>
    <t>Smallest st.dev:</t>
  </si>
  <si>
    <t>Estimates</t>
  </si>
  <si>
    <t>St.dev</t>
  </si>
  <si>
    <t>Midpoint</t>
  </si>
  <si>
    <t>Sum:</t>
  </si>
  <si>
    <t>Diff to mean sq</t>
  </si>
  <si>
    <t>Correct</t>
  </si>
  <si>
    <t>The data has been grouped into bins, which means we can only estimate the
mean using the central value of each bin - if the actual data is skewed towards one end of a
bin the true mean will be different.</t>
  </si>
  <si>
    <t>e)</t>
  </si>
  <si>
    <t>f)</t>
  </si>
  <si>
    <t>g)</t>
  </si>
  <si>
    <t>h)</t>
  </si>
  <si>
    <t>Using the top end of each bin instead of the midpoint would get the largest possible mean, and using the bottom end of the bins would get the lowest possible</t>
  </si>
  <si>
    <t>Mean min</t>
  </si>
  <si>
    <t>Mean max</t>
  </si>
  <si>
    <t>Bin min</t>
  </si>
  <si>
    <t>Bin max</t>
  </si>
  <si>
    <t>Variance</t>
  </si>
  <si>
    <t>For each of these datasets, the values of the mean and variance in the x and y data are the same. They are called the Datasaurus Dozen, and were created to illustrate the fact that summary statistics can be misleading.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</si>
</sst>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2" fontId="0" fillId="0" borderId="0" xfId="0" applyNumberFormat="1"/>
    <xf numFmtId="0" fontId="2" fillId="0" borderId="0" xfId="0" applyFont="1"/>
    <xf numFmtId="0" fontId="3" fillId="0" borderId="0" xfId="0" applyFont="1" applyAlignme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9'!$B$2:$F$2</c:f>
              <c:numCache>
                <c:formatCode>General</c:formatCode>
                <c:ptCount val="5"/>
                <c:pt idx="0">
                  <c:v>17</c:v>
                </c:pt>
                <c:pt idx="1">
                  <c:v>1</c:v>
                </c:pt>
                <c:pt idx="2">
                  <c:v>23</c:v>
                </c:pt>
                <c:pt idx="3">
                  <c:v>31</c:v>
                </c:pt>
                <c:pt idx="4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7B-4B48-92B1-549A973865E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9'!$B$3:$F$3</c:f>
              <c:numCache>
                <c:formatCode>General</c:formatCode>
                <c:ptCount val="5"/>
                <c:pt idx="0">
                  <c:v>20</c:v>
                </c:pt>
                <c:pt idx="1">
                  <c:v>34</c:v>
                </c:pt>
                <c:pt idx="2">
                  <c:v>13</c:v>
                </c:pt>
                <c:pt idx="3">
                  <c:v>30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7B-4B48-92B1-549A973865E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9'!$B$4:$F$4</c:f>
              <c:numCache>
                <c:formatCode>General</c:formatCode>
                <c:ptCount val="5"/>
                <c:pt idx="0">
                  <c:v>32</c:v>
                </c:pt>
                <c:pt idx="1">
                  <c:v>20</c:v>
                </c:pt>
                <c:pt idx="2">
                  <c:v>30</c:v>
                </c:pt>
                <c:pt idx="3">
                  <c:v>34</c:v>
                </c:pt>
                <c:pt idx="4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7B-4B48-92B1-549A973865E0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9'!$B$5:$F$5</c:f>
              <c:numCache>
                <c:formatCode>General</c:formatCode>
                <c:ptCount val="5"/>
                <c:pt idx="0">
                  <c:v>40</c:v>
                </c:pt>
                <c:pt idx="1">
                  <c:v>27</c:v>
                </c:pt>
                <c:pt idx="2">
                  <c:v>35</c:v>
                </c:pt>
                <c:pt idx="3">
                  <c:v>27</c:v>
                </c:pt>
                <c:pt idx="4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7B-4B48-92B1-549A973865E0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9'!$B$6:$F$6</c:f>
              <c:numCache>
                <c:formatCode>General</c:formatCode>
                <c:ptCount val="5"/>
                <c:pt idx="0">
                  <c:v>33</c:v>
                </c:pt>
                <c:pt idx="1">
                  <c:v>6</c:v>
                </c:pt>
                <c:pt idx="2">
                  <c:v>32</c:v>
                </c:pt>
                <c:pt idx="3">
                  <c:v>31</c:v>
                </c:pt>
                <c:pt idx="4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7B-4B48-92B1-549A973865E0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9'!$B$7:$F$7</c:f>
              <c:numCache>
                <c:formatCode>General</c:formatCode>
                <c:ptCount val="5"/>
                <c:pt idx="0">
                  <c:v>14</c:v>
                </c:pt>
                <c:pt idx="1">
                  <c:v>17</c:v>
                </c:pt>
                <c:pt idx="2">
                  <c:v>20</c:v>
                </c:pt>
                <c:pt idx="3">
                  <c:v>30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7B-4B48-92B1-549A973865E0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9'!$B$8:$F$8</c:f>
              <c:numCache>
                <c:formatCode>General</c:formatCode>
                <c:ptCount val="5"/>
                <c:pt idx="0">
                  <c:v>26</c:v>
                </c:pt>
                <c:pt idx="1">
                  <c:v>30</c:v>
                </c:pt>
                <c:pt idx="2">
                  <c:v>3</c:v>
                </c:pt>
                <c:pt idx="3">
                  <c:v>19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C7B-4B48-92B1-549A973865E0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9'!$B$9:$F$9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26</c:v>
                </c:pt>
                <c:pt idx="3">
                  <c:v>40</c:v>
                </c:pt>
                <c:pt idx="4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C7B-4B48-92B1-549A973865E0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9'!$B$10:$F$10</c:f>
              <c:numCache>
                <c:formatCode>General</c:formatCode>
                <c:ptCount val="5"/>
                <c:pt idx="0">
                  <c:v>21</c:v>
                </c:pt>
                <c:pt idx="1">
                  <c:v>21</c:v>
                </c:pt>
                <c:pt idx="2">
                  <c:v>18</c:v>
                </c:pt>
                <c:pt idx="3">
                  <c:v>34</c:v>
                </c:pt>
                <c:pt idx="4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C7B-4B48-92B1-549A973865E0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9'!$B$11:$F$11</c:f>
              <c:numCache>
                <c:formatCode>General</c:formatCode>
                <c:ptCount val="5"/>
                <c:pt idx="0">
                  <c:v>25</c:v>
                </c:pt>
                <c:pt idx="1">
                  <c:v>12</c:v>
                </c:pt>
                <c:pt idx="2">
                  <c:v>2</c:v>
                </c:pt>
                <c:pt idx="3">
                  <c:v>38</c:v>
                </c:pt>
                <c:pt idx="4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C7B-4B48-92B1-549A973865E0}"/>
            </c:ext>
          </c:extLst>
        </c:ser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9'!$B$12:$F$12</c:f>
              <c:numCache>
                <c:formatCode>General</c:formatCode>
                <c:ptCount val="5"/>
                <c:pt idx="0">
                  <c:v>28</c:v>
                </c:pt>
                <c:pt idx="1">
                  <c:v>13</c:v>
                </c:pt>
                <c:pt idx="2">
                  <c:v>3</c:v>
                </c:pt>
                <c:pt idx="3">
                  <c:v>38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C7B-4B48-92B1-549A973865E0}"/>
            </c:ext>
          </c:extLst>
        </c:ser>
        <c:ser>
          <c:idx val="11"/>
          <c:order val="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9'!$B$13:$F$13</c:f>
              <c:numCache>
                <c:formatCode>General</c:formatCode>
                <c:ptCount val="5"/>
                <c:pt idx="0">
                  <c:v>29</c:v>
                </c:pt>
                <c:pt idx="1">
                  <c:v>22</c:v>
                </c:pt>
                <c:pt idx="2">
                  <c:v>7</c:v>
                </c:pt>
                <c:pt idx="3">
                  <c:v>39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C7B-4B48-92B1-549A973865E0}"/>
            </c:ext>
          </c:extLst>
        </c:ser>
        <c:ser>
          <c:idx val="12"/>
          <c:order val="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9'!$B$14:$F$14</c:f>
              <c:numCache>
                <c:formatCode>General</c:formatCode>
                <c:ptCount val="5"/>
                <c:pt idx="0">
                  <c:v>13</c:v>
                </c:pt>
                <c:pt idx="1">
                  <c:v>20</c:v>
                </c:pt>
                <c:pt idx="2">
                  <c:v>15</c:v>
                </c:pt>
                <c:pt idx="3">
                  <c:v>20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C7B-4B48-92B1-549A973865E0}"/>
            </c:ext>
          </c:extLst>
        </c:ser>
        <c:ser>
          <c:idx val="13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9'!$B$15:$F$15</c:f>
              <c:numCache>
                <c:formatCode>General</c:formatCode>
                <c:ptCount val="5"/>
                <c:pt idx="0">
                  <c:v>26</c:v>
                </c:pt>
                <c:pt idx="1">
                  <c:v>25</c:v>
                </c:pt>
                <c:pt idx="2">
                  <c:v>40</c:v>
                </c:pt>
                <c:pt idx="3">
                  <c:v>36</c:v>
                </c:pt>
                <c:pt idx="4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C7B-4B48-92B1-549A973865E0}"/>
            </c:ext>
          </c:extLst>
        </c:ser>
        <c:ser>
          <c:idx val="14"/>
          <c:order val="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9'!$B$16:$F$16</c:f>
              <c:numCache>
                <c:formatCode>General</c:formatCode>
                <c:ptCount val="5"/>
                <c:pt idx="0">
                  <c:v>39</c:v>
                </c:pt>
                <c:pt idx="1">
                  <c:v>29</c:v>
                </c:pt>
                <c:pt idx="2">
                  <c:v>38</c:v>
                </c:pt>
                <c:pt idx="3">
                  <c:v>37</c:v>
                </c:pt>
                <c:pt idx="4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C7B-4B48-92B1-549A973865E0}"/>
            </c:ext>
          </c:extLst>
        </c:ser>
        <c:ser>
          <c:idx val="15"/>
          <c:order val="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9'!$B$17:$F$17</c:f>
              <c:numCache>
                <c:formatCode>General</c:formatCode>
                <c:ptCount val="5"/>
                <c:pt idx="0">
                  <c:v>29</c:v>
                </c:pt>
                <c:pt idx="1">
                  <c:v>14</c:v>
                </c:pt>
                <c:pt idx="2">
                  <c:v>33</c:v>
                </c:pt>
                <c:pt idx="3">
                  <c:v>40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C7B-4B48-92B1-549A973865E0}"/>
            </c:ext>
          </c:extLst>
        </c:ser>
        <c:ser>
          <c:idx val="16"/>
          <c:order val="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9'!$B$18:$F$18</c:f>
              <c:numCache>
                <c:formatCode>General</c:formatCode>
                <c:ptCount val="5"/>
                <c:pt idx="0">
                  <c:v>29</c:v>
                </c:pt>
                <c:pt idx="1">
                  <c:v>16</c:v>
                </c:pt>
                <c:pt idx="2">
                  <c:v>20</c:v>
                </c:pt>
                <c:pt idx="3">
                  <c:v>36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C7B-4B48-92B1-549A973865E0}"/>
            </c:ext>
          </c:extLst>
        </c:ser>
        <c:ser>
          <c:idx val="17"/>
          <c:order val="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9'!$B$19:$F$19</c:f>
              <c:numCache>
                <c:formatCode>General</c:formatCode>
                <c:ptCount val="5"/>
                <c:pt idx="0">
                  <c:v>16</c:v>
                </c:pt>
                <c:pt idx="1">
                  <c:v>39</c:v>
                </c:pt>
                <c:pt idx="2">
                  <c:v>15</c:v>
                </c:pt>
                <c:pt idx="3">
                  <c:v>34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C7B-4B48-92B1-549A973865E0}"/>
            </c:ext>
          </c:extLst>
        </c:ser>
        <c:ser>
          <c:idx val="18"/>
          <c:order val="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9'!$B$20:$F$20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38</c:v>
                </c:pt>
                <c:pt idx="3">
                  <c:v>26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C7B-4B48-92B1-549A973865E0}"/>
            </c:ext>
          </c:extLst>
        </c:ser>
        <c:ser>
          <c:idx val="19"/>
          <c:order val="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'Exercise 9'!$B$1:$F$1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9'!$B$21:$F$21</c:f>
              <c:numCache>
                <c:formatCode>General</c:formatCode>
                <c:ptCount val="5"/>
                <c:pt idx="0">
                  <c:v>16</c:v>
                </c:pt>
                <c:pt idx="1">
                  <c:v>25</c:v>
                </c:pt>
                <c:pt idx="2">
                  <c:v>12</c:v>
                </c:pt>
                <c:pt idx="3">
                  <c:v>39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C7B-4B48-92B1-549A97386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371632"/>
        <c:axId val="303373344"/>
      </c:scatterChart>
      <c:valAx>
        <c:axId val="30337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373344"/>
        <c:crosses val="autoZero"/>
        <c:crossBetween val="midCat"/>
      </c:valAx>
      <c:valAx>
        <c:axId val="30337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37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Dataset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'Exercise 11'!$C$21</c:f>
              <c:strCache>
                <c:ptCount val="1"/>
                <c:pt idx="0">
                  <c:v>y1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'Exercise 11'!$B$22:$B$163</c:f>
              <c:numCache>
                <c:formatCode>General</c:formatCode>
                <c:ptCount val="142"/>
                <c:pt idx="0">
                  <c:v>55.384599999999999</c:v>
                </c:pt>
                <c:pt idx="1">
                  <c:v>51.538499999999999</c:v>
                </c:pt>
                <c:pt idx="2">
                  <c:v>46.153799999999997</c:v>
                </c:pt>
                <c:pt idx="3">
                  <c:v>42.820500000000003</c:v>
                </c:pt>
                <c:pt idx="4">
                  <c:v>40.769199999999998</c:v>
                </c:pt>
                <c:pt idx="5">
                  <c:v>38.7179</c:v>
                </c:pt>
                <c:pt idx="6">
                  <c:v>35.640999999999998</c:v>
                </c:pt>
                <c:pt idx="7">
                  <c:v>33.076900000000002</c:v>
                </c:pt>
                <c:pt idx="8">
                  <c:v>28.974399999999999</c:v>
                </c:pt>
                <c:pt idx="9">
                  <c:v>26.1538</c:v>
                </c:pt>
                <c:pt idx="10">
                  <c:v>23.076899999999998</c:v>
                </c:pt>
                <c:pt idx="11">
                  <c:v>22.307700000000001</c:v>
                </c:pt>
                <c:pt idx="12">
                  <c:v>22.307700000000001</c:v>
                </c:pt>
                <c:pt idx="13">
                  <c:v>23.333300000000001</c:v>
                </c:pt>
                <c:pt idx="14">
                  <c:v>25.897400000000001</c:v>
                </c:pt>
                <c:pt idx="15">
                  <c:v>29.487200000000001</c:v>
                </c:pt>
                <c:pt idx="16">
                  <c:v>32.820500000000003</c:v>
                </c:pt>
                <c:pt idx="17">
                  <c:v>35.384599999999999</c:v>
                </c:pt>
                <c:pt idx="18">
                  <c:v>40.256399999999999</c:v>
                </c:pt>
                <c:pt idx="19">
                  <c:v>44.102600000000002</c:v>
                </c:pt>
                <c:pt idx="20">
                  <c:v>46.666699999999999</c:v>
                </c:pt>
                <c:pt idx="21">
                  <c:v>50</c:v>
                </c:pt>
                <c:pt idx="22">
                  <c:v>53.076900000000002</c:v>
                </c:pt>
                <c:pt idx="23">
                  <c:v>56.666699999999999</c:v>
                </c:pt>
                <c:pt idx="24">
                  <c:v>59.230800000000002</c:v>
                </c:pt>
                <c:pt idx="25">
                  <c:v>61.2821</c:v>
                </c:pt>
                <c:pt idx="26">
                  <c:v>61.538499999999999</c:v>
                </c:pt>
                <c:pt idx="27">
                  <c:v>61.794899999999998</c:v>
                </c:pt>
                <c:pt idx="28">
                  <c:v>57.435899999999997</c:v>
                </c:pt>
                <c:pt idx="29">
                  <c:v>54.8718</c:v>
                </c:pt>
                <c:pt idx="30">
                  <c:v>52.564100000000003</c:v>
                </c:pt>
                <c:pt idx="31">
                  <c:v>48.205100000000002</c:v>
                </c:pt>
                <c:pt idx="32">
                  <c:v>49.487200000000001</c:v>
                </c:pt>
                <c:pt idx="33">
                  <c:v>51.025599999999997</c:v>
                </c:pt>
                <c:pt idx="34">
                  <c:v>45.384599999999999</c:v>
                </c:pt>
                <c:pt idx="35">
                  <c:v>42.820500000000003</c:v>
                </c:pt>
                <c:pt idx="36">
                  <c:v>38.7179</c:v>
                </c:pt>
                <c:pt idx="37">
                  <c:v>35.1282</c:v>
                </c:pt>
                <c:pt idx="38">
                  <c:v>32.564100000000003</c:v>
                </c:pt>
                <c:pt idx="39">
                  <c:v>30</c:v>
                </c:pt>
                <c:pt idx="40">
                  <c:v>33.589700000000001</c:v>
                </c:pt>
                <c:pt idx="41">
                  <c:v>36.666699999999999</c:v>
                </c:pt>
                <c:pt idx="42">
                  <c:v>38.205100000000002</c:v>
                </c:pt>
                <c:pt idx="43">
                  <c:v>29.743600000000001</c:v>
                </c:pt>
                <c:pt idx="44">
                  <c:v>29.743600000000001</c:v>
                </c:pt>
                <c:pt idx="45">
                  <c:v>30</c:v>
                </c:pt>
                <c:pt idx="46">
                  <c:v>32.051299999999998</c:v>
                </c:pt>
                <c:pt idx="47">
                  <c:v>35.897399999999998</c:v>
                </c:pt>
                <c:pt idx="48">
                  <c:v>41.025599999999997</c:v>
                </c:pt>
                <c:pt idx="49">
                  <c:v>44.102600000000002</c:v>
                </c:pt>
                <c:pt idx="50">
                  <c:v>47.179499999999997</c:v>
                </c:pt>
                <c:pt idx="51">
                  <c:v>49.487200000000001</c:v>
                </c:pt>
                <c:pt idx="52">
                  <c:v>51.538499999999999</c:v>
                </c:pt>
                <c:pt idx="53">
                  <c:v>53.589700000000001</c:v>
                </c:pt>
                <c:pt idx="54">
                  <c:v>55.1282</c:v>
                </c:pt>
                <c:pt idx="55">
                  <c:v>56.666699999999999</c:v>
                </c:pt>
                <c:pt idx="56">
                  <c:v>59.230800000000002</c:v>
                </c:pt>
                <c:pt idx="57">
                  <c:v>62.307699999999997</c:v>
                </c:pt>
                <c:pt idx="58">
                  <c:v>64.871799999999993</c:v>
                </c:pt>
                <c:pt idx="59">
                  <c:v>67.948700000000002</c:v>
                </c:pt>
                <c:pt idx="60">
                  <c:v>70.512799999999999</c:v>
                </c:pt>
                <c:pt idx="61">
                  <c:v>71.538499999999999</c:v>
                </c:pt>
                <c:pt idx="62">
                  <c:v>71.538499999999999</c:v>
                </c:pt>
                <c:pt idx="63">
                  <c:v>69.487200000000001</c:v>
                </c:pt>
                <c:pt idx="64">
                  <c:v>46.923099999999998</c:v>
                </c:pt>
                <c:pt idx="65">
                  <c:v>48.205100000000002</c:v>
                </c:pt>
                <c:pt idx="66">
                  <c:v>50</c:v>
                </c:pt>
                <c:pt idx="67">
                  <c:v>53.076900000000002</c:v>
                </c:pt>
                <c:pt idx="68">
                  <c:v>55.384599999999999</c:v>
                </c:pt>
                <c:pt idx="69">
                  <c:v>56.666699999999999</c:v>
                </c:pt>
                <c:pt idx="70">
                  <c:v>56.153799999999997</c:v>
                </c:pt>
                <c:pt idx="71">
                  <c:v>53.846200000000003</c:v>
                </c:pt>
                <c:pt idx="72">
                  <c:v>51.2821</c:v>
                </c:pt>
                <c:pt idx="73">
                  <c:v>50</c:v>
                </c:pt>
                <c:pt idx="74">
                  <c:v>47.948700000000002</c:v>
                </c:pt>
                <c:pt idx="75">
                  <c:v>29.743600000000001</c:v>
                </c:pt>
                <c:pt idx="76">
                  <c:v>29.743600000000001</c:v>
                </c:pt>
                <c:pt idx="77">
                  <c:v>31.2821</c:v>
                </c:pt>
                <c:pt idx="78">
                  <c:v>57.948700000000002</c:v>
                </c:pt>
                <c:pt idx="79">
                  <c:v>61.794899999999998</c:v>
                </c:pt>
                <c:pt idx="80">
                  <c:v>64.871799999999993</c:v>
                </c:pt>
                <c:pt idx="81">
                  <c:v>68.461500000000001</c:v>
                </c:pt>
                <c:pt idx="82">
                  <c:v>70.769199999999998</c:v>
                </c:pt>
                <c:pt idx="83">
                  <c:v>72.051299999999998</c:v>
                </c:pt>
                <c:pt idx="84">
                  <c:v>73.846199999999996</c:v>
                </c:pt>
                <c:pt idx="85">
                  <c:v>75.128200000000007</c:v>
                </c:pt>
                <c:pt idx="86">
                  <c:v>76.666700000000006</c:v>
                </c:pt>
                <c:pt idx="87">
                  <c:v>77.692300000000003</c:v>
                </c:pt>
                <c:pt idx="88">
                  <c:v>79.743600000000001</c:v>
                </c:pt>
                <c:pt idx="89">
                  <c:v>81.794899999999998</c:v>
                </c:pt>
                <c:pt idx="90">
                  <c:v>83.333299999999994</c:v>
                </c:pt>
                <c:pt idx="91">
                  <c:v>85.128200000000007</c:v>
                </c:pt>
                <c:pt idx="92">
                  <c:v>86.410300000000007</c:v>
                </c:pt>
                <c:pt idx="93">
                  <c:v>87.948700000000002</c:v>
                </c:pt>
                <c:pt idx="94">
                  <c:v>89.487200000000001</c:v>
                </c:pt>
                <c:pt idx="95">
                  <c:v>93.333299999999994</c:v>
                </c:pt>
                <c:pt idx="96">
                  <c:v>95.384600000000006</c:v>
                </c:pt>
                <c:pt idx="97">
                  <c:v>98.205100000000002</c:v>
                </c:pt>
                <c:pt idx="98">
                  <c:v>56.666699999999999</c:v>
                </c:pt>
                <c:pt idx="99">
                  <c:v>59.230800000000002</c:v>
                </c:pt>
                <c:pt idx="100">
                  <c:v>60.769199999999998</c:v>
                </c:pt>
                <c:pt idx="101">
                  <c:v>63.076900000000002</c:v>
                </c:pt>
                <c:pt idx="102">
                  <c:v>64.102599999999995</c:v>
                </c:pt>
                <c:pt idx="103">
                  <c:v>64.358999999999995</c:v>
                </c:pt>
                <c:pt idx="104">
                  <c:v>74.358999999999995</c:v>
                </c:pt>
                <c:pt idx="105">
                  <c:v>71.2821</c:v>
                </c:pt>
                <c:pt idx="106">
                  <c:v>67.948700000000002</c:v>
                </c:pt>
                <c:pt idx="107">
                  <c:v>65.897400000000005</c:v>
                </c:pt>
                <c:pt idx="108">
                  <c:v>63.076900000000002</c:v>
                </c:pt>
                <c:pt idx="109">
                  <c:v>61.2821</c:v>
                </c:pt>
                <c:pt idx="110">
                  <c:v>58.7179</c:v>
                </c:pt>
                <c:pt idx="111">
                  <c:v>55.1282</c:v>
                </c:pt>
                <c:pt idx="112">
                  <c:v>52.307699999999997</c:v>
                </c:pt>
                <c:pt idx="113">
                  <c:v>49.743600000000001</c:v>
                </c:pt>
                <c:pt idx="114">
                  <c:v>47.435899999999997</c:v>
                </c:pt>
                <c:pt idx="115">
                  <c:v>44.8718</c:v>
                </c:pt>
                <c:pt idx="116">
                  <c:v>48.7179</c:v>
                </c:pt>
                <c:pt idx="117">
                  <c:v>51.2821</c:v>
                </c:pt>
                <c:pt idx="118">
                  <c:v>54.102600000000002</c:v>
                </c:pt>
                <c:pt idx="119">
                  <c:v>56.153799999999997</c:v>
                </c:pt>
                <c:pt idx="120">
                  <c:v>52.051299999999998</c:v>
                </c:pt>
                <c:pt idx="121">
                  <c:v>48.7179</c:v>
                </c:pt>
                <c:pt idx="122">
                  <c:v>47.179499999999997</c:v>
                </c:pt>
                <c:pt idx="123">
                  <c:v>46.153799999999997</c:v>
                </c:pt>
                <c:pt idx="124">
                  <c:v>50.512799999999999</c:v>
                </c:pt>
                <c:pt idx="125">
                  <c:v>53.846200000000003</c:v>
                </c:pt>
                <c:pt idx="126">
                  <c:v>57.435899999999997</c:v>
                </c:pt>
                <c:pt idx="127">
                  <c:v>60</c:v>
                </c:pt>
                <c:pt idx="128">
                  <c:v>64.102599999999995</c:v>
                </c:pt>
                <c:pt idx="129">
                  <c:v>66.923100000000005</c:v>
                </c:pt>
                <c:pt idx="130">
                  <c:v>71.2821</c:v>
                </c:pt>
                <c:pt idx="131">
                  <c:v>74.358999999999995</c:v>
                </c:pt>
                <c:pt idx="132">
                  <c:v>78.205100000000002</c:v>
                </c:pt>
                <c:pt idx="133">
                  <c:v>67.948700000000002</c:v>
                </c:pt>
                <c:pt idx="134">
                  <c:v>68.461500000000001</c:v>
                </c:pt>
                <c:pt idx="135">
                  <c:v>68.205100000000002</c:v>
                </c:pt>
                <c:pt idx="136">
                  <c:v>37.692300000000003</c:v>
                </c:pt>
                <c:pt idx="137">
                  <c:v>39.487200000000001</c:v>
                </c:pt>
                <c:pt idx="138">
                  <c:v>91.2821</c:v>
                </c:pt>
                <c:pt idx="139">
                  <c:v>50</c:v>
                </c:pt>
                <c:pt idx="140">
                  <c:v>47.948700000000002</c:v>
                </c:pt>
                <c:pt idx="141">
                  <c:v>44.102600000000002</c:v>
                </c:pt>
              </c:numCache>
            </c:numRef>
          </c:xVal>
          <c:yVal>
            <c:numRef>
              <c:f>'Exercise 11'!$C$22:$C$163</c:f>
              <c:numCache>
                <c:formatCode>General</c:formatCode>
                <c:ptCount val="142"/>
                <c:pt idx="0">
                  <c:v>97.179500000000004</c:v>
                </c:pt>
                <c:pt idx="1">
                  <c:v>96.025599999999997</c:v>
                </c:pt>
                <c:pt idx="2">
                  <c:v>94.487200000000001</c:v>
                </c:pt>
                <c:pt idx="3">
                  <c:v>91.410300000000007</c:v>
                </c:pt>
                <c:pt idx="4">
                  <c:v>88.333299999999994</c:v>
                </c:pt>
                <c:pt idx="5">
                  <c:v>84.871799999999993</c:v>
                </c:pt>
                <c:pt idx="6">
                  <c:v>79.871799999999993</c:v>
                </c:pt>
                <c:pt idx="7">
                  <c:v>77.564099999999996</c:v>
                </c:pt>
                <c:pt idx="8">
                  <c:v>74.487200000000001</c:v>
                </c:pt>
                <c:pt idx="9">
                  <c:v>71.410300000000007</c:v>
                </c:pt>
                <c:pt idx="10">
                  <c:v>66.410300000000007</c:v>
                </c:pt>
                <c:pt idx="11">
                  <c:v>61.794899999999998</c:v>
                </c:pt>
                <c:pt idx="12">
                  <c:v>57.179499999999997</c:v>
                </c:pt>
                <c:pt idx="13">
                  <c:v>52.948700000000002</c:v>
                </c:pt>
                <c:pt idx="14">
                  <c:v>51.025599999999997</c:v>
                </c:pt>
                <c:pt idx="15">
                  <c:v>51.025599999999997</c:v>
                </c:pt>
                <c:pt idx="16">
                  <c:v>51.025599999999997</c:v>
                </c:pt>
                <c:pt idx="17">
                  <c:v>51.410299999999999</c:v>
                </c:pt>
                <c:pt idx="18">
                  <c:v>51.410299999999999</c:v>
                </c:pt>
                <c:pt idx="19">
                  <c:v>52.948700000000002</c:v>
                </c:pt>
                <c:pt idx="20">
                  <c:v>54.102600000000002</c:v>
                </c:pt>
                <c:pt idx="21">
                  <c:v>55.256399999999999</c:v>
                </c:pt>
                <c:pt idx="22">
                  <c:v>55.640999999999998</c:v>
                </c:pt>
                <c:pt idx="23">
                  <c:v>56.025599999999997</c:v>
                </c:pt>
                <c:pt idx="24">
                  <c:v>57.948700000000002</c:v>
                </c:pt>
                <c:pt idx="25">
                  <c:v>62.179499999999997</c:v>
                </c:pt>
                <c:pt idx="26">
                  <c:v>66.410300000000007</c:v>
                </c:pt>
                <c:pt idx="27">
                  <c:v>69.102599999999995</c:v>
                </c:pt>
                <c:pt idx="28">
                  <c:v>55.256399999999999</c:v>
                </c:pt>
                <c:pt idx="29">
                  <c:v>49.8718</c:v>
                </c:pt>
                <c:pt idx="30">
                  <c:v>46.025599999999997</c:v>
                </c:pt>
                <c:pt idx="31">
                  <c:v>38.333300000000001</c:v>
                </c:pt>
                <c:pt idx="32">
                  <c:v>42.179499999999997</c:v>
                </c:pt>
                <c:pt idx="33">
                  <c:v>44.102600000000002</c:v>
                </c:pt>
                <c:pt idx="34">
                  <c:v>36.410299999999999</c:v>
                </c:pt>
                <c:pt idx="35">
                  <c:v>32.564100000000003</c:v>
                </c:pt>
                <c:pt idx="36">
                  <c:v>31.410299999999999</c:v>
                </c:pt>
                <c:pt idx="37">
                  <c:v>30.256399999999999</c:v>
                </c:pt>
                <c:pt idx="38">
                  <c:v>32.179499999999997</c:v>
                </c:pt>
                <c:pt idx="39">
                  <c:v>36.794899999999998</c:v>
                </c:pt>
                <c:pt idx="40">
                  <c:v>41.410299999999999</c:v>
                </c:pt>
                <c:pt idx="41">
                  <c:v>45.640999999999998</c:v>
                </c:pt>
                <c:pt idx="42">
                  <c:v>49.102600000000002</c:v>
                </c:pt>
                <c:pt idx="43">
                  <c:v>36.025599999999997</c:v>
                </c:pt>
                <c:pt idx="44">
                  <c:v>32.179499999999997</c:v>
                </c:pt>
                <c:pt idx="45">
                  <c:v>29.102599999999999</c:v>
                </c:pt>
                <c:pt idx="46">
                  <c:v>26.794899999999998</c:v>
                </c:pt>
                <c:pt idx="47">
                  <c:v>25.256399999999999</c:v>
                </c:pt>
                <c:pt idx="48">
                  <c:v>25.256399999999999</c:v>
                </c:pt>
                <c:pt idx="49">
                  <c:v>25.640999999999998</c:v>
                </c:pt>
                <c:pt idx="50">
                  <c:v>28.718</c:v>
                </c:pt>
                <c:pt idx="51">
                  <c:v>31.410299999999999</c:v>
                </c:pt>
                <c:pt idx="52">
                  <c:v>34.8718</c:v>
                </c:pt>
                <c:pt idx="53">
                  <c:v>37.564100000000003</c:v>
                </c:pt>
                <c:pt idx="54">
                  <c:v>40.640999999999998</c:v>
                </c:pt>
                <c:pt idx="55">
                  <c:v>42.179499999999997</c:v>
                </c:pt>
                <c:pt idx="56">
                  <c:v>44.487200000000001</c:v>
                </c:pt>
                <c:pt idx="57">
                  <c:v>46.025599999999997</c:v>
                </c:pt>
                <c:pt idx="58">
                  <c:v>46.794899999999998</c:v>
                </c:pt>
                <c:pt idx="59">
                  <c:v>47.948700000000002</c:v>
                </c:pt>
                <c:pt idx="60">
                  <c:v>53.718000000000004</c:v>
                </c:pt>
                <c:pt idx="61">
                  <c:v>60.640999999999998</c:v>
                </c:pt>
                <c:pt idx="62">
                  <c:v>64.487200000000001</c:v>
                </c:pt>
                <c:pt idx="63">
                  <c:v>69.487200000000001</c:v>
                </c:pt>
                <c:pt idx="64">
                  <c:v>79.871799999999993</c:v>
                </c:pt>
                <c:pt idx="65">
                  <c:v>84.102599999999995</c:v>
                </c:pt>
                <c:pt idx="66">
                  <c:v>85.256399999999999</c:v>
                </c:pt>
                <c:pt idx="67">
                  <c:v>85.256399999999999</c:v>
                </c:pt>
                <c:pt idx="68">
                  <c:v>86.025599999999997</c:v>
                </c:pt>
                <c:pt idx="69">
                  <c:v>86.025599999999997</c:v>
                </c:pt>
                <c:pt idx="70">
                  <c:v>82.948700000000002</c:v>
                </c:pt>
                <c:pt idx="71">
                  <c:v>80.641000000000005</c:v>
                </c:pt>
                <c:pt idx="72">
                  <c:v>78.718000000000004</c:v>
                </c:pt>
                <c:pt idx="73">
                  <c:v>78.718000000000004</c:v>
                </c:pt>
                <c:pt idx="74">
                  <c:v>77.564099999999996</c:v>
                </c:pt>
                <c:pt idx="75">
                  <c:v>59.8718</c:v>
                </c:pt>
                <c:pt idx="76">
                  <c:v>62.179499999999997</c:v>
                </c:pt>
                <c:pt idx="77">
                  <c:v>62.564100000000003</c:v>
                </c:pt>
                <c:pt idx="78">
                  <c:v>99.487200000000001</c:v>
                </c:pt>
                <c:pt idx="79">
                  <c:v>99.102599999999995</c:v>
                </c:pt>
                <c:pt idx="80">
                  <c:v>97.564099999999996</c:v>
                </c:pt>
                <c:pt idx="81">
                  <c:v>94.102599999999995</c:v>
                </c:pt>
                <c:pt idx="82">
                  <c:v>91.025599999999997</c:v>
                </c:pt>
                <c:pt idx="83">
                  <c:v>86.410300000000007</c:v>
                </c:pt>
                <c:pt idx="84">
                  <c:v>83.333299999999994</c:v>
                </c:pt>
                <c:pt idx="85">
                  <c:v>79.102599999999995</c:v>
                </c:pt>
                <c:pt idx="86">
                  <c:v>75.256399999999999</c:v>
                </c:pt>
                <c:pt idx="87">
                  <c:v>71.410300000000007</c:v>
                </c:pt>
                <c:pt idx="88">
                  <c:v>66.794899999999998</c:v>
                </c:pt>
                <c:pt idx="89">
                  <c:v>60.256399999999999</c:v>
                </c:pt>
                <c:pt idx="90">
                  <c:v>55.256399999999999</c:v>
                </c:pt>
                <c:pt idx="91">
                  <c:v>51.410299999999999</c:v>
                </c:pt>
                <c:pt idx="92">
                  <c:v>47.564100000000003</c:v>
                </c:pt>
                <c:pt idx="93">
                  <c:v>46.025599999999997</c:v>
                </c:pt>
                <c:pt idx="94">
                  <c:v>42.564100000000003</c:v>
                </c:pt>
                <c:pt idx="95">
                  <c:v>39.8718</c:v>
                </c:pt>
                <c:pt idx="96">
                  <c:v>36.794899999999998</c:v>
                </c:pt>
                <c:pt idx="97">
                  <c:v>33.718000000000004</c:v>
                </c:pt>
                <c:pt idx="98">
                  <c:v>40.640999999999998</c:v>
                </c:pt>
                <c:pt idx="99">
                  <c:v>38.333300000000001</c:v>
                </c:pt>
                <c:pt idx="100">
                  <c:v>33.718000000000004</c:v>
                </c:pt>
                <c:pt idx="101">
                  <c:v>29.102599999999999</c:v>
                </c:pt>
                <c:pt idx="102">
                  <c:v>25.256399999999999</c:v>
                </c:pt>
                <c:pt idx="103">
                  <c:v>24.102599999999999</c:v>
                </c:pt>
                <c:pt idx="104">
                  <c:v>22.948699999999999</c:v>
                </c:pt>
                <c:pt idx="105">
                  <c:v>22.948699999999999</c:v>
                </c:pt>
                <c:pt idx="106">
                  <c:v>22.179500000000001</c:v>
                </c:pt>
                <c:pt idx="107">
                  <c:v>20.256399999999999</c:v>
                </c:pt>
                <c:pt idx="108">
                  <c:v>19.102599999999999</c:v>
                </c:pt>
                <c:pt idx="109">
                  <c:v>19.102599999999999</c:v>
                </c:pt>
                <c:pt idx="110">
                  <c:v>18.333300000000001</c:v>
                </c:pt>
                <c:pt idx="111">
                  <c:v>18.333300000000001</c:v>
                </c:pt>
                <c:pt idx="112">
                  <c:v>18.333300000000001</c:v>
                </c:pt>
                <c:pt idx="113">
                  <c:v>17.5641</c:v>
                </c:pt>
                <c:pt idx="114">
                  <c:v>16.025600000000001</c:v>
                </c:pt>
                <c:pt idx="115">
                  <c:v>13.718</c:v>
                </c:pt>
                <c:pt idx="116">
                  <c:v>14.8718</c:v>
                </c:pt>
                <c:pt idx="117">
                  <c:v>14.8718</c:v>
                </c:pt>
                <c:pt idx="118">
                  <c:v>14.8718</c:v>
                </c:pt>
                <c:pt idx="119">
                  <c:v>14.102600000000001</c:v>
                </c:pt>
                <c:pt idx="120">
                  <c:v>12.5641</c:v>
                </c:pt>
                <c:pt idx="121">
                  <c:v>11.025600000000001</c:v>
                </c:pt>
                <c:pt idx="122">
                  <c:v>9.8718000000000004</c:v>
                </c:pt>
                <c:pt idx="123">
                  <c:v>6.0255999999999998</c:v>
                </c:pt>
                <c:pt idx="124">
                  <c:v>9.4871999999999996</c:v>
                </c:pt>
                <c:pt idx="125">
                  <c:v>10.256399999999999</c:v>
                </c:pt>
                <c:pt idx="126">
                  <c:v>10.256399999999999</c:v>
                </c:pt>
                <c:pt idx="127">
                  <c:v>10.641</c:v>
                </c:pt>
                <c:pt idx="128">
                  <c:v>10.641</c:v>
                </c:pt>
                <c:pt idx="129">
                  <c:v>10.641</c:v>
                </c:pt>
                <c:pt idx="130">
                  <c:v>10.641</c:v>
                </c:pt>
                <c:pt idx="131">
                  <c:v>10.641</c:v>
                </c:pt>
                <c:pt idx="132">
                  <c:v>10.641</c:v>
                </c:pt>
                <c:pt idx="133">
                  <c:v>8.718</c:v>
                </c:pt>
                <c:pt idx="134">
                  <c:v>5.2564000000000002</c:v>
                </c:pt>
                <c:pt idx="135">
                  <c:v>2.9487000000000001</c:v>
                </c:pt>
                <c:pt idx="136">
                  <c:v>25.769200000000001</c:v>
                </c:pt>
                <c:pt idx="137">
                  <c:v>25.384599999999999</c:v>
                </c:pt>
                <c:pt idx="138">
                  <c:v>41.538499999999999</c:v>
                </c:pt>
                <c:pt idx="139">
                  <c:v>95.769199999999998</c:v>
                </c:pt>
                <c:pt idx="140">
                  <c:v>95</c:v>
                </c:pt>
                <c:pt idx="141">
                  <c:v>92.692300000000003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EF-B549-981C-2A1F72BEC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71968"/>
        <c:axId val="76573680"/>
      </c:scatterChart>
      <c:valAx>
        <c:axId val="7657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3680"/>
        <c:crosses val="autoZero"/>
        <c:crossBetween val="midCat"/>
      </c:valAx>
      <c:valAx>
        <c:axId val="7657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Dataset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'Exercise 11'!$H$22:$H$163</c:f>
              <c:numCache>
                <c:formatCode>General</c:formatCode>
                <c:ptCount val="142"/>
                <c:pt idx="0">
                  <c:v>50.481508169999998</c:v>
                </c:pt>
                <c:pt idx="1">
                  <c:v>50.282405670000003</c:v>
                </c:pt>
                <c:pt idx="2">
                  <c:v>50.186703340000001</c:v>
                </c:pt>
                <c:pt idx="3">
                  <c:v>50.326910859999998</c:v>
                </c:pt>
                <c:pt idx="4">
                  <c:v>50.456207329999998</c:v>
                </c:pt>
                <c:pt idx="5">
                  <c:v>30.46484693</c:v>
                </c:pt>
                <c:pt idx="6">
                  <c:v>30.501596469999999</c:v>
                </c:pt>
                <c:pt idx="7">
                  <c:v>30.489569230000001</c:v>
                </c:pt>
                <c:pt idx="8">
                  <c:v>30.450248330000001</c:v>
                </c:pt>
                <c:pt idx="9">
                  <c:v>30.518394799999999</c:v>
                </c:pt>
                <c:pt idx="10">
                  <c:v>30.51166121</c:v>
                </c:pt>
                <c:pt idx="11">
                  <c:v>30.49807771</c:v>
                </c:pt>
                <c:pt idx="12">
                  <c:v>30.620227750000002</c:v>
                </c:pt>
                <c:pt idx="13">
                  <c:v>30.492185419999998</c:v>
                </c:pt>
                <c:pt idx="14">
                  <c:v>30.474634330000001</c:v>
                </c:pt>
                <c:pt idx="15">
                  <c:v>30.500998079999999</c:v>
                </c:pt>
                <c:pt idx="16">
                  <c:v>30.49442136</c:v>
                </c:pt>
                <c:pt idx="17">
                  <c:v>30.49954455</c:v>
                </c:pt>
                <c:pt idx="18">
                  <c:v>50.144392979999999</c:v>
                </c:pt>
                <c:pt idx="19">
                  <c:v>49.912898589999998</c:v>
                </c:pt>
                <c:pt idx="20">
                  <c:v>50.337427490000003</c:v>
                </c:pt>
                <c:pt idx="21">
                  <c:v>50.418979200000003</c:v>
                </c:pt>
                <c:pt idx="22">
                  <c:v>50.205258970000003</c:v>
                </c:pt>
                <c:pt idx="23">
                  <c:v>50.435315160000002</c:v>
                </c:pt>
                <c:pt idx="24">
                  <c:v>69.505788899999999</c:v>
                </c:pt>
                <c:pt idx="25">
                  <c:v>69.534070979999996</c:v>
                </c:pt>
                <c:pt idx="26">
                  <c:v>69.510106930000006</c:v>
                </c:pt>
                <c:pt idx="27">
                  <c:v>69.526322890000003</c:v>
                </c:pt>
                <c:pt idx="28">
                  <c:v>49.947239959999997</c:v>
                </c:pt>
                <c:pt idx="29">
                  <c:v>50.063104129999999</c:v>
                </c:pt>
                <c:pt idx="30">
                  <c:v>50.489902370000003</c:v>
                </c:pt>
                <c:pt idx="31">
                  <c:v>49.688863840000003</c:v>
                </c:pt>
                <c:pt idx="32">
                  <c:v>50.333481110000001</c:v>
                </c:pt>
                <c:pt idx="33">
                  <c:v>50.446751419999998</c:v>
                </c:pt>
                <c:pt idx="34">
                  <c:v>50.420909199999997</c:v>
                </c:pt>
                <c:pt idx="35">
                  <c:v>50.374052050000003</c:v>
                </c:pt>
                <c:pt idx="36">
                  <c:v>30.476829909999999</c:v>
                </c:pt>
                <c:pt idx="37">
                  <c:v>30.503474350000001</c:v>
                </c:pt>
                <c:pt idx="38">
                  <c:v>30.504834930000001</c:v>
                </c:pt>
                <c:pt idx="39">
                  <c:v>30.462218459999999</c:v>
                </c:pt>
                <c:pt idx="40">
                  <c:v>30.491302619999999</c:v>
                </c:pt>
                <c:pt idx="41">
                  <c:v>30.44965384</c:v>
                </c:pt>
                <c:pt idx="42">
                  <c:v>30.485994219999998</c:v>
                </c:pt>
                <c:pt idx="43">
                  <c:v>30.50207679</c:v>
                </c:pt>
                <c:pt idx="44">
                  <c:v>30.47805889</c:v>
                </c:pt>
                <c:pt idx="45">
                  <c:v>30.50116088</c:v>
                </c:pt>
                <c:pt idx="46">
                  <c:v>30.504773019999998</c:v>
                </c:pt>
                <c:pt idx="47">
                  <c:v>30.50911533</c:v>
                </c:pt>
                <c:pt idx="48">
                  <c:v>50.115632169999998</c:v>
                </c:pt>
                <c:pt idx="49">
                  <c:v>50.44830134</c:v>
                </c:pt>
                <c:pt idx="50">
                  <c:v>50.173177430000003</c:v>
                </c:pt>
                <c:pt idx="51">
                  <c:v>49.92274192</c:v>
                </c:pt>
                <c:pt idx="52">
                  <c:v>50.31129937</c:v>
                </c:pt>
                <c:pt idx="53">
                  <c:v>50.399409609999999</c:v>
                </c:pt>
                <c:pt idx="54">
                  <c:v>50.337362640000002</c:v>
                </c:pt>
                <c:pt idx="55">
                  <c:v>50.202318099999999</c:v>
                </c:pt>
                <c:pt idx="56">
                  <c:v>50.27493261</c:v>
                </c:pt>
                <c:pt idx="57">
                  <c:v>69.494380309999997</c:v>
                </c:pt>
                <c:pt idx="58">
                  <c:v>69.519339759999994</c:v>
                </c:pt>
                <c:pt idx="59">
                  <c:v>69.529182610000007</c:v>
                </c:pt>
                <c:pt idx="60">
                  <c:v>69.495755500000001</c:v>
                </c:pt>
                <c:pt idx="61">
                  <c:v>69.199057710000005</c:v>
                </c:pt>
                <c:pt idx="62">
                  <c:v>69.551091439999993</c:v>
                </c:pt>
                <c:pt idx="63">
                  <c:v>69.506684320000005</c:v>
                </c:pt>
                <c:pt idx="64">
                  <c:v>50.444117550000001</c:v>
                </c:pt>
                <c:pt idx="65">
                  <c:v>50.467229379999999</c:v>
                </c:pt>
                <c:pt idx="66">
                  <c:v>50.210881980000003</c:v>
                </c:pt>
                <c:pt idx="67">
                  <c:v>50.205406959999998</c:v>
                </c:pt>
                <c:pt idx="68">
                  <c:v>50.43829066</c:v>
                </c:pt>
                <c:pt idx="69">
                  <c:v>50.373518850000004</c:v>
                </c:pt>
                <c:pt idx="70">
                  <c:v>50.253683690000003</c:v>
                </c:pt>
                <c:pt idx="71">
                  <c:v>50.25047086</c:v>
                </c:pt>
                <c:pt idx="72">
                  <c:v>50.08705836</c:v>
                </c:pt>
                <c:pt idx="73">
                  <c:v>50.231071880000002</c:v>
                </c:pt>
                <c:pt idx="74">
                  <c:v>50.207741120000001</c:v>
                </c:pt>
                <c:pt idx="75">
                  <c:v>30.49950617</c:v>
                </c:pt>
                <c:pt idx="76">
                  <c:v>30.52036124</c:v>
                </c:pt>
                <c:pt idx="77">
                  <c:v>30.454955890000001</c:v>
                </c:pt>
                <c:pt idx="78">
                  <c:v>50.416477229999998</c:v>
                </c:pt>
                <c:pt idx="79">
                  <c:v>69.525069380000005</c:v>
                </c:pt>
                <c:pt idx="80">
                  <c:v>69.520256599999996</c:v>
                </c:pt>
                <c:pt idx="81">
                  <c:v>69.498970069999999</c:v>
                </c:pt>
                <c:pt idx="82">
                  <c:v>69.52861566</c:v>
                </c:pt>
                <c:pt idx="83">
                  <c:v>69.499766930000007</c:v>
                </c:pt>
                <c:pt idx="84">
                  <c:v>69.503801370000005</c:v>
                </c:pt>
                <c:pt idx="85">
                  <c:v>69.487589400000005</c:v>
                </c:pt>
                <c:pt idx="86">
                  <c:v>69.519115729999996</c:v>
                </c:pt>
                <c:pt idx="87">
                  <c:v>69.504376289999996</c:v>
                </c:pt>
                <c:pt idx="88">
                  <c:v>69.512573009999997</c:v>
                </c:pt>
                <c:pt idx="89">
                  <c:v>89.494200559999996</c:v>
                </c:pt>
                <c:pt idx="90">
                  <c:v>89.500124049999997</c:v>
                </c:pt>
                <c:pt idx="91">
                  <c:v>89.490246249999998</c:v>
                </c:pt>
                <c:pt idx="92">
                  <c:v>89.497785620000002</c:v>
                </c:pt>
                <c:pt idx="93">
                  <c:v>89.504851130000006</c:v>
                </c:pt>
                <c:pt idx="94">
                  <c:v>89.501052650000005</c:v>
                </c:pt>
                <c:pt idx="95">
                  <c:v>89.488841249999993</c:v>
                </c:pt>
                <c:pt idx="96">
                  <c:v>89.501623530000003</c:v>
                </c:pt>
                <c:pt idx="97">
                  <c:v>89.497529659999998</c:v>
                </c:pt>
                <c:pt idx="98">
                  <c:v>50.439092019999997</c:v>
                </c:pt>
                <c:pt idx="99">
                  <c:v>50.179850129999998</c:v>
                </c:pt>
                <c:pt idx="100">
                  <c:v>69.505070669999995</c:v>
                </c:pt>
                <c:pt idx="101">
                  <c:v>69.579867050000004</c:v>
                </c:pt>
                <c:pt idx="102">
                  <c:v>69.506471950000005</c:v>
                </c:pt>
                <c:pt idx="103">
                  <c:v>69.499478870000004</c:v>
                </c:pt>
                <c:pt idx="104">
                  <c:v>69.500264749999999</c:v>
                </c:pt>
                <c:pt idx="105">
                  <c:v>69.504156519999995</c:v>
                </c:pt>
                <c:pt idx="106">
                  <c:v>69.532279579999994</c:v>
                </c:pt>
                <c:pt idx="107">
                  <c:v>69.500111489999995</c:v>
                </c:pt>
                <c:pt idx="108">
                  <c:v>69.50481542</c:v>
                </c:pt>
                <c:pt idx="109">
                  <c:v>69.503474519999997</c:v>
                </c:pt>
                <c:pt idx="110">
                  <c:v>50.377401990000003</c:v>
                </c:pt>
                <c:pt idx="111">
                  <c:v>50.339425480000003</c:v>
                </c:pt>
                <c:pt idx="112">
                  <c:v>50.093650099999998</c:v>
                </c:pt>
                <c:pt idx="113">
                  <c:v>49.934127169999996</c:v>
                </c:pt>
                <c:pt idx="114">
                  <c:v>50.28881861</c:v>
                </c:pt>
                <c:pt idx="115">
                  <c:v>50.287994429999998</c:v>
                </c:pt>
                <c:pt idx="116">
                  <c:v>50.234720699999997</c:v>
                </c:pt>
                <c:pt idx="117">
                  <c:v>50.279701639999999</c:v>
                </c:pt>
                <c:pt idx="118">
                  <c:v>50.253006720000002</c:v>
                </c:pt>
                <c:pt idx="119">
                  <c:v>50.474141119999999</c:v>
                </c:pt>
                <c:pt idx="120">
                  <c:v>50.108439969999999</c:v>
                </c:pt>
                <c:pt idx="121">
                  <c:v>49.919058249999999</c:v>
                </c:pt>
                <c:pt idx="122">
                  <c:v>50.083664509999998</c:v>
                </c:pt>
                <c:pt idx="123">
                  <c:v>50.35226084</c:v>
                </c:pt>
                <c:pt idx="124">
                  <c:v>50.497572239999997</c:v>
                </c:pt>
                <c:pt idx="125">
                  <c:v>50.01630583</c:v>
                </c:pt>
                <c:pt idx="126">
                  <c:v>50.468221219999997</c:v>
                </c:pt>
                <c:pt idx="127">
                  <c:v>69.550678980000001</c:v>
                </c:pt>
                <c:pt idx="128">
                  <c:v>69.518672749999993</c:v>
                </c:pt>
                <c:pt idx="129">
                  <c:v>69.503457409999996</c:v>
                </c:pt>
                <c:pt idx="130">
                  <c:v>69.499486829999995</c:v>
                </c:pt>
                <c:pt idx="131">
                  <c:v>69.527529680000001</c:v>
                </c:pt>
                <c:pt idx="132">
                  <c:v>69.51909526</c:v>
                </c:pt>
                <c:pt idx="133">
                  <c:v>69.561899429999997</c:v>
                </c:pt>
                <c:pt idx="134">
                  <c:v>69.501044519999994</c:v>
                </c:pt>
                <c:pt idx="135">
                  <c:v>69.524635979999999</c:v>
                </c:pt>
                <c:pt idx="136">
                  <c:v>30.499593709999999</c:v>
                </c:pt>
                <c:pt idx="137">
                  <c:v>30.487391710000001</c:v>
                </c:pt>
                <c:pt idx="138">
                  <c:v>89.500180470000004</c:v>
                </c:pt>
                <c:pt idx="139">
                  <c:v>50.410271629999997</c:v>
                </c:pt>
                <c:pt idx="140">
                  <c:v>50.325924389999997</c:v>
                </c:pt>
                <c:pt idx="141">
                  <c:v>50.104031499999998</c:v>
                </c:pt>
              </c:numCache>
            </c:numRef>
          </c:xVal>
          <c:yVal>
            <c:numRef>
              <c:f>'Exercise 11'!$I$22:$I$163</c:f>
              <c:numCache>
                <c:formatCode>General</c:formatCode>
                <c:ptCount val="142"/>
                <c:pt idx="0">
                  <c:v>93.222701369999996</c:v>
                </c:pt>
                <c:pt idx="1">
                  <c:v>97.609983569999997</c:v>
                </c:pt>
                <c:pt idx="2">
                  <c:v>99.694680140000003</c:v>
                </c:pt>
                <c:pt idx="3">
                  <c:v>90.022053490000005</c:v>
                </c:pt>
                <c:pt idx="4">
                  <c:v>89.987410130000001</c:v>
                </c:pt>
                <c:pt idx="5">
                  <c:v>82.089232080000002</c:v>
                </c:pt>
                <c:pt idx="6">
                  <c:v>82.307126350000004</c:v>
                </c:pt>
                <c:pt idx="7">
                  <c:v>77.729880140000006</c:v>
                </c:pt>
                <c:pt idx="8">
                  <c:v>79.834894399999996</c:v>
                </c:pt>
                <c:pt idx="9">
                  <c:v>68.252582939999996</c:v>
                </c:pt>
                <c:pt idx="10">
                  <c:v>66.093718179999996</c:v>
                </c:pt>
                <c:pt idx="11">
                  <c:v>62.384985030000003</c:v>
                </c:pt>
                <c:pt idx="12">
                  <c:v>60.860082149999997</c:v>
                </c:pt>
                <c:pt idx="13">
                  <c:v>55.878916889999999</c:v>
                </c:pt>
                <c:pt idx="14">
                  <c:v>52.322159640000002</c:v>
                </c:pt>
                <c:pt idx="15">
                  <c:v>48.069699679999999</c:v>
                </c:pt>
                <c:pt idx="16">
                  <c:v>45.773475529999999</c:v>
                </c:pt>
                <c:pt idx="17">
                  <c:v>49.382099750000002</c:v>
                </c:pt>
                <c:pt idx="18">
                  <c:v>47.014283640000002</c:v>
                </c:pt>
                <c:pt idx="19">
                  <c:v>55.587838910000002</c:v>
                </c:pt>
                <c:pt idx="20">
                  <c:v>57.955314280000003</c:v>
                </c:pt>
                <c:pt idx="21">
                  <c:v>60.524911729999999</c:v>
                </c:pt>
                <c:pt idx="22">
                  <c:v>57.924217169999999</c:v>
                </c:pt>
                <c:pt idx="23">
                  <c:v>56.43932247</c:v>
                </c:pt>
                <c:pt idx="24">
                  <c:v>59.284924830000001</c:v>
                </c:pt>
                <c:pt idx="25">
                  <c:v>64.892977329999994</c:v>
                </c:pt>
                <c:pt idx="26">
                  <c:v>61.329624430000003</c:v>
                </c:pt>
                <c:pt idx="27">
                  <c:v>56.99527913</c:v>
                </c:pt>
                <c:pt idx="28">
                  <c:v>48.229576729999998</c:v>
                </c:pt>
                <c:pt idx="29">
                  <c:v>58.085037560000004</c:v>
                </c:pt>
                <c:pt idx="30">
                  <c:v>39.20541197</c:v>
                </c:pt>
                <c:pt idx="31">
                  <c:v>42.018514410000002</c:v>
                </c:pt>
                <c:pt idx="32">
                  <c:v>43.588671480000002</c:v>
                </c:pt>
                <c:pt idx="33">
                  <c:v>57.230588939999997</c:v>
                </c:pt>
                <c:pt idx="34">
                  <c:v>43.3479569</c:v>
                </c:pt>
                <c:pt idx="35">
                  <c:v>32.918240619999999</c:v>
                </c:pt>
                <c:pt idx="36">
                  <c:v>39.424605589999999</c:v>
                </c:pt>
                <c:pt idx="37">
                  <c:v>38.348556139999999</c:v>
                </c:pt>
                <c:pt idx="38">
                  <c:v>28.771487990000001</c:v>
                </c:pt>
                <c:pt idx="39">
                  <c:v>32.750472029999997</c:v>
                </c:pt>
                <c:pt idx="40">
                  <c:v>43.56137408</c:v>
                </c:pt>
                <c:pt idx="41">
                  <c:v>44.995123</c:v>
                </c:pt>
                <c:pt idx="42">
                  <c:v>47.347946469999997</c:v>
                </c:pt>
                <c:pt idx="43">
                  <c:v>36.441212919999998</c:v>
                </c:pt>
                <c:pt idx="44">
                  <c:v>28.02058049</c:v>
                </c:pt>
                <c:pt idx="45">
                  <c:v>38.314138560000004</c:v>
                </c:pt>
                <c:pt idx="46">
                  <c:v>26.416625669999998</c:v>
                </c:pt>
                <c:pt idx="47">
                  <c:v>22.82554712</c:v>
                </c:pt>
                <c:pt idx="48">
                  <c:v>16.694006550000001</c:v>
                </c:pt>
                <c:pt idx="49">
                  <c:v>21.64025646</c:v>
                </c:pt>
                <c:pt idx="50">
                  <c:v>29.17786439</c:v>
                </c:pt>
                <c:pt idx="51">
                  <c:v>38.440472909999997</c:v>
                </c:pt>
                <c:pt idx="52">
                  <c:v>26.860488270000001</c:v>
                </c:pt>
                <c:pt idx="53">
                  <c:v>38.963838920000001</c:v>
                </c:pt>
                <c:pt idx="54">
                  <c:v>40.91338614</c:v>
                </c:pt>
                <c:pt idx="55">
                  <c:v>47.212947999999997</c:v>
                </c:pt>
                <c:pt idx="56">
                  <c:v>49.623499340000002</c:v>
                </c:pt>
                <c:pt idx="57">
                  <c:v>52.612410709999999</c:v>
                </c:pt>
                <c:pt idx="58">
                  <c:v>47.384533709999999</c:v>
                </c:pt>
                <c:pt idx="59">
                  <c:v>57.841266679999997</c:v>
                </c:pt>
                <c:pt idx="60">
                  <c:v>58.785073160000003</c:v>
                </c:pt>
                <c:pt idx="61">
                  <c:v>60.418957319999997</c:v>
                </c:pt>
                <c:pt idx="62">
                  <c:v>58.401098269999999</c:v>
                </c:pt>
                <c:pt idx="63">
                  <c:v>68.084466789999993</c:v>
                </c:pt>
                <c:pt idx="64">
                  <c:v>75.013299509999996</c:v>
                </c:pt>
                <c:pt idx="65">
                  <c:v>90.281464510000006</c:v>
                </c:pt>
                <c:pt idx="66">
                  <c:v>80.941771709999998</c:v>
                </c:pt>
                <c:pt idx="67">
                  <c:v>90.640535900000003</c:v>
                </c:pt>
                <c:pt idx="68">
                  <c:v>92.35476027</c:v>
                </c:pt>
                <c:pt idx="69">
                  <c:v>82.219205720000005</c:v>
                </c:pt>
                <c:pt idx="70">
                  <c:v>81.743828719999996</c:v>
                </c:pt>
                <c:pt idx="71">
                  <c:v>71.951385209999998</c:v>
                </c:pt>
                <c:pt idx="72">
                  <c:v>73.951873629999994</c:v>
                </c:pt>
                <c:pt idx="73">
                  <c:v>80.64738706</c:v>
                </c:pt>
                <c:pt idx="74">
                  <c:v>73.11450352</c:v>
                </c:pt>
                <c:pt idx="75">
                  <c:v>53.612527669999999</c:v>
                </c:pt>
                <c:pt idx="76">
                  <c:v>65.100409069999998</c:v>
                </c:pt>
                <c:pt idx="77">
                  <c:v>63.501778780000002</c:v>
                </c:pt>
                <c:pt idx="78">
                  <c:v>97.269691960000003</c:v>
                </c:pt>
                <c:pt idx="79">
                  <c:v>93.598050209999997</c:v>
                </c:pt>
                <c:pt idx="80">
                  <c:v>97.193876020000005</c:v>
                </c:pt>
                <c:pt idx="81">
                  <c:v>92.120489930000005</c:v>
                </c:pt>
                <c:pt idx="82">
                  <c:v>91.622088239999997</c:v>
                </c:pt>
                <c:pt idx="83">
                  <c:v>84.479683289999997</c:v>
                </c:pt>
                <c:pt idx="84">
                  <c:v>81.815405620000007</c:v>
                </c:pt>
                <c:pt idx="85">
                  <c:v>81.835987560000007</c:v>
                </c:pt>
                <c:pt idx="86">
                  <c:v>71.115967220000002</c:v>
                </c:pt>
                <c:pt idx="87">
                  <c:v>70.493443819999996</c:v>
                </c:pt>
                <c:pt idx="88">
                  <c:v>61.49756395</c:v>
                </c:pt>
                <c:pt idx="89">
                  <c:v>62.234326969999998</c:v>
                </c:pt>
                <c:pt idx="90">
                  <c:v>53.216330620000001</c:v>
                </c:pt>
                <c:pt idx="91">
                  <c:v>48.890796549999997</c:v>
                </c:pt>
                <c:pt idx="92">
                  <c:v>46.629906669999997</c:v>
                </c:pt>
                <c:pt idx="93">
                  <c:v>48.423408160000001</c:v>
                </c:pt>
                <c:pt idx="94">
                  <c:v>43.347343700000003</c:v>
                </c:pt>
                <c:pt idx="95">
                  <c:v>40.625091220000002</c:v>
                </c:pt>
                <c:pt idx="96">
                  <c:v>45.815179190000002</c:v>
                </c:pt>
                <c:pt idx="97">
                  <c:v>33.901372670000001</c:v>
                </c:pt>
                <c:pt idx="98">
                  <c:v>37.670771799999997</c:v>
                </c:pt>
                <c:pt idx="99">
                  <c:v>36.807559339999997</c:v>
                </c:pt>
                <c:pt idx="100">
                  <c:v>33.740152500000001</c:v>
                </c:pt>
                <c:pt idx="101">
                  <c:v>21.935236750000001</c:v>
                </c:pt>
                <c:pt idx="102">
                  <c:v>22.728662870000001</c:v>
                </c:pt>
                <c:pt idx="103">
                  <c:v>16.337469980000002</c:v>
                </c:pt>
                <c:pt idx="104">
                  <c:v>27.136023990000002</c:v>
                </c:pt>
                <c:pt idx="105">
                  <c:v>23.668918099999999</c:v>
                </c:pt>
                <c:pt idx="106">
                  <c:v>21.85090082</c:v>
                </c:pt>
                <c:pt idx="107">
                  <c:v>11.79162601</c:v>
                </c:pt>
                <c:pt idx="108">
                  <c:v>15.614358259999999</c:v>
                </c:pt>
                <c:pt idx="109">
                  <c:v>17.169089769999999</c:v>
                </c:pt>
                <c:pt idx="110">
                  <c:v>16.506015059999999</c:v>
                </c:pt>
                <c:pt idx="111">
                  <c:v>18.72345069</c:v>
                </c:pt>
                <c:pt idx="112">
                  <c:v>11.60771342</c:v>
                </c:pt>
                <c:pt idx="113">
                  <c:v>22.256139739999998</c:v>
                </c:pt>
                <c:pt idx="114">
                  <c:v>13.43641047</c:v>
                </c:pt>
                <c:pt idx="115">
                  <c:v>12.87228221</c:v>
                </c:pt>
                <c:pt idx="116">
                  <c:v>20.40447292</c:v>
                </c:pt>
                <c:pt idx="117">
                  <c:v>15.608737570000001</c:v>
                </c:pt>
                <c:pt idx="118">
                  <c:v>11.30208425</c:v>
                </c:pt>
                <c:pt idx="119">
                  <c:v>12.46199667</c:v>
                </c:pt>
                <c:pt idx="120">
                  <c:v>18.259044339999999</c:v>
                </c:pt>
                <c:pt idx="121">
                  <c:v>3.716853886</c:v>
                </c:pt>
                <c:pt idx="122">
                  <c:v>10.235881900000001</c:v>
                </c:pt>
                <c:pt idx="123">
                  <c:v>12.46860053</c:v>
                </c:pt>
                <c:pt idx="124">
                  <c:v>7.4096252339999999</c:v>
                </c:pt>
                <c:pt idx="125">
                  <c:v>16.253684790000001</c:v>
                </c:pt>
                <c:pt idx="126">
                  <c:v>13.356702459999999</c:v>
                </c:pt>
                <c:pt idx="127">
                  <c:v>9.0329875689999994</c:v>
                </c:pt>
                <c:pt idx="128">
                  <c:v>15.18048643</c:v>
                </c:pt>
                <c:pt idx="129">
                  <c:v>16.87831327</c:v>
                </c:pt>
                <c:pt idx="130">
                  <c:v>10.20782668</c:v>
                </c:pt>
                <c:pt idx="131">
                  <c:v>9.9922966659999997</c:v>
                </c:pt>
                <c:pt idx="132">
                  <c:v>11.422685700000001</c:v>
                </c:pt>
                <c:pt idx="133">
                  <c:v>15.99980379</c:v>
                </c:pt>
                <c:pt idx="134">
                  <c:v>5.9558335390000003</c:v>
                </c:pt>
                <c:pt idx="135">
                  <c:v>2.7347601699999999</c:v>
                </c:pt>
                <c:pt idx="136">
                  <c:v>26.085561569999999</c:v>
                </c:pt>
                <c:pt idx="137">
                  <c:v>19.779470369999999</c:v>
                </c:pt>
                <c:pt idx="138">
                  <c:v>31.97891744</c:v>
                </c:pt>
                <c:pt idx="139">
                  <c:v>98.62836944</c:v>
                </c:pt>
                <c:pt idx="140">
                  <c:v>94.994630849999993</c:v>
                </c:pt>
                <c:pt idx="141">
                  <c:v>95.088538020000001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A5-4F4A-94CA-B4380B64D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73360"/>
        <c:axId val="76875072"/>
      </c:scatterChart>
      <c:valAx>
        <c:axId val="7687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75072"/>
        <c:crosses val="autoZero"/>
        <c:crossBetween val="midCat"/>
      </c:valAx>
      <c:valAx>
        <c:axId val="7687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7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Dataset 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'Exercise 11'!$P$22:$P$163</c:f>
              <c:numCache>
                <c:formatCode>General</c:formatCode>
                <c:ptCount val="142"/>
                <c:pt idx="0">
                  <c:v>51.147916709999997</c:v>
                </c:pt>
                <c:pt idx="1">
                  <c:v>50.517125810000003</c:v>
                </c:pt>
                <c:pt idx="2">
                  <c:v>50.207480199999999</c:v>
                </c:pt>
                <c:pt idx="3">
                  <c:v>50.069481920000001</c:v>
                </c:pt>
                <c:pt idx="4">
                  <c:v>50.56284634</c:v>
                </c:pt>
                <c:pt idx="5">
                  <c:v>50.288527799999997</c:v>
                </c:pt>
                <c:pt idx="6">
                  <c:v>25.583475079999999</c:v>
                </c:pt>
                <c:pt idx="7">
                  <c:v>25.48358339</c:v>
                </c:pt>
                <c:pt idx="8">
                  <c:v>25.443525699999999</c:v>
                </c:pt>
                <c:pt idx="9">
                  <c:v>25.565113419999999</c:v>
                </c:pt>
                <c:pt idx="10">
                  <c:v>25.928844269999999</c:v>
                </c:pt>
                <c:pt idx="11">
                  <c:v>27.55147826</c:v>
                </c:pt>
                <c:pt idx="12">
                  <c:v>27.530466369999999</c:v>
                </c:pt>
                <c:pt idx="13">
                  <c:v>27.09557036</c:v>
                </c:pt>
                <c:pt idx="14">
                  <c:v>27.439249610000001</c:v>
                </c:pt>
                <c:pt idx="15">
                  <c:v>27.878264260000002</c:v>
                </c:pt>
                <c:pt idx="16">
                  <c:v>27.338868919999999</c:v>
                </c:pt>
                <c:pt idx="17">
                  <c:v>27.67840297</c:v>
                </c:pt>
                <c:pt idx="18">
                  <c:v>52.635657680000001</c:v>
                </c:pt>
                <c:pt idx="19">
                  <c:v>52.02521411</c:v>
                </c:pt>
                <c:pt idx="20">
                  <c:v>52.88116479</c:v>
                </c:pt>
                <c:pt idx="21">
                  <c:v>52.952607309999998</c:v>
                </c:pt>
                <c:pt idx="22">
                  <c:v>52.52055249</c:v>
                </c:pt>
                <c:pt idx="23">
                  <c:v>52.342822060000003</c:v>
                </c:pt>
                <c:pt idx="24">
                  <c:v>51.927590209999998</c:v>
                </c:pt>
                <c:pt idx="25">
                  <c:v>52.713774489999999</c:v>
                </c:pt>
                <c:pt idx="26">
                  <c:v>50.443802789999999</c:v>
                </c:pt>
                <c:pt idx="27">
                  <c:v>50.216695029999997</c:v>
                </c:pt>
                <c:pt idx="28">
                  <c:v>52.18418011</c:v>
                </c:pt>
                <c:pt idx="29">
                  <c:v>52.792097349999999</c:v>
                </c:pt>
                <c:pt idx="30">
                  <c:v>52.589719860000002</c:v>
                </c:pt>
                <c:pt idx="31">
                  <c:v>52.028848670000002</c:v>
                </c:pt>
                <c:pt idx="32">
                  <c:v>52.729246580000002</c:v>
                </c:pt>
                <c:pt idx="33">
                  <c:v>52.884313290000001</c:v>
                </c:pt>
                <c:pt idx="34">
                  <c:v>52.509300889999999</c:v>
                </c:pt>
                <c:pt idx="35">
                  <c:v>50.86268433</c:v>
                </c:pt>
                <c:pt idx="36">
                  <c:v>50.891492249999999</c:v>
                </c:pt>
                <c:pt idx="37">
                  <c:v>25.855127599999999</c:v>
                </c:pt>
                <c:pt idx="38">
                  <c:v>26.025644549999999</c:v>
                </c:pt>
                <c:pt idx="39">
                  <c:v>27.893172719999999</c:v>
                </c:pt>
                <c:pt idx="40">
                  <c:v>27.639967939999998</c:v>
                </c:pt>
                <c:pt idx="41">
                  <c:v>27.892658900000001</c:v>
                </c:pt>
                <c:pt idx="42">
                  <c:v>52.797732940000003</c:v>
                </c:pt>
                <c:pt idx="43">
                  <c:v>27.58063881</c:v>
                </c:pt>
                <c:pt idx="44">
                  <c:v>26.491398530000001</c:v>
                </c:pt>
                <c:pt idx="45">
                  <c:v>25.985317819999999</c:v>
                </c:pt>
                <c:pt idx="46">
                  <c:v>26.20141928</c:v>
                </c:pt>
                <c:pt idx="47">
                  <c:v>25.857569470000001</c:v>
                </c:pt>
                <c:pt idx="48">
                  <c:v>50.704684360000002</c:v>
                </c:pt>
                <c:pt idx="49">
                  <c:v>50.811975349999997</c:v>
                </c:pt>
                <c:pt idx="50">
                  <c:v>50.564845560000002</c:v>
                </c:pt>
                <c:pt idx="51">
                  <c:v>50.93930391</c:v>
                </c:pt>
                <c:pt idx="52">
                  <c:v>50.458854840000001</c:v>
                </c:pt>
                <c:pt idx="53">
                  <c:v>52.90136407</c:v>
                </c:pt>
                <c:pt idx="54">
                  <c:v>52.684953440000001</c:v>
                </c:pt>
                <c:pt idx="55">
                  <c:v>52.500088939999998</c:v>
                </c:pt>
                <c:pt idx="56">
                  <c:v>51.835637259999999</c:v>
                </c:pt>
                <c:pt idx="57">
                  <c:v>76.995412099999996</c:v>
                </c:pt>
                <c:pt idx="58">
                  <c:v>77.310600480000005</c:v>
                </c:pt>
                <c:pt idx="59">
                  <c:v>77.926044340000004</c:v>
                </c:pt>
                <c:pt idx="60">
                  <c:v>77.254388340000006</c:v>
                </c:pt>
                <c:pt idx="61">
                  <c:v>76.243157800000006</c:v>
                </c:pt>
                <c:pt idx="62">
                  <c:v>77.084484369999998</c:v>
                </c:pt>
                <c:pt idx="63">
                  <c:v>75.228053200000005</c:v>
                </c:pt>
                <c:pt idx="64">
                  <c:v>50.658354770000003</c:v>
                </c:pt>
                <c:pt idx="65">
                  <c:v>50.203365810000001</c:v>
                </c:pt>
                <c:pt idx="66">
                  <c:v>50.929547700000001</c:v>
                </c:pt>
                <c:pt idx="67">
                  <c:v>50.178671850000001</c:v>
                </c:pt>
                <c:pt idx="68">
                  <c:v>50.422698060000002</c:v>
                </c:pt>
                <c:pt idx="69">
                  <c:v>50.464224829999999</c:v>
                </c:pt>
                <c:pt idx="70">
                  <c:v>50.449270329999997</c:v>
                </c:pt>
                <c:pt idx="71">
                  <c:v>49.928380279999999</c:v>
                </c:pt>
                <c:pt idx="72">
                  <c:v>50.488013639999998</c:v>
                </c:pt>
                <c:pt idx="73">
                  <c:v>49.964905379999998</c:v>
                </c:pt>
                <c:pt idx="74">
                  <c:v>50.75210826</c:v>
                </c:pt>
                <c:pt idx="75">
                  <c:v>27.422429210000001</c:v>
                </c:pt>
                <c:pt idx="76">
                  <c:v>27.674083400000001</c:v>
                </c:pt>
                <c:pt idx="77">
                  <c:v>27.537395320000002</c:v>
                </c:pt>
                <c:pt idx="78">
                  <c:v>52.263347379999999</c:v>
                </c:pt>
                <c:pt idx="79">
                  <c:v>51.737281660000001</c:v>
                </c:pt>
                <c:pt idx="80">
                  <c:v>75.870963689999996</c:v>
                </c:pt>
                <c:pt idx="81">
                  <c:v>75.244326209999997</c:v>
                </c:pt>
                <c:pt idx="82">
                  <c:v>75.198295290000004</c:v>
                </c:pt>
                <c:pt idx="83">
                  <c:v>75.701041529999998</c:v>
                </c:pt>
                <c:pt idx="84">
                  <c:v>75.479339659999994</c:v>
                </c:pt>
                <c:pt idx="85">
                  <c:v>75.194566870000003</c:v>
                </c:pt>
                <c:pt idx="86">
                  <c:v>74.820253960000002</c:v>
                </c:pt>
                <c:pt idx="87">
                  <c:v>75.164340490000001</c:v>
                </c:pt>
                <c:pt idx="88">
                  <c:v>75.26335555</c:v>
                </c:pt>
                <c:pt idx="89">
                  <c:v>77.756418929999995</c:v>
                </c:pt>
                <c:pt idx="90">
                  <c:v>77.954435050000001</c:v>
                </c:pt>
                <c:pt idx="91">
                  <c:v>77.08333777</c:v>
                </c:pt>
                <c:pt idx="92">
                  <c:v>76.063550250000006</c:v>
                </c:pt>
                <c:pt idx="93">
                  <c:v>77.682016320000002</c:v>
                </c:pt>
                <c:pt idx="94">
                  <c:v>76.878081980000005</c:v>
                </c:pt>
                <c:pt idx="95">
                  <c:v>76.948502719999993</c:v>
                </c:pt>
                <c:pt idx="96">
                  <c:v>77.864054710000005</c:v>
                </c:pt>
                <c:pt idx="97">
                  <c:v>75.771450090000002</c:v>
                </c:pt>
                <c:pt idx="98">
                  <c:v>52.331569129999998</c:v>
                </c:pt>
                <c:pt idx="99">
                  <c:v>52.592818370000003</c:v>
                </c:pt>
                <c:pt idx="100">
                  <c:v>50.477047720000002</c:v>
                </c:pt>
                <c:pt idx="101">
                  <c:v>75.296475090000001</c:v>
                </c:pt>
                <c:pt idx="102">
                  <c:v>75.573954130000004</c:v>
                </c:pt>
                <c:pt idx="103">
                  <c:v>75.400527159999996</c:v>
                </c:pt>
                <c:pt idx="104">
                  <c:v>75.870990840000005</c:v>
                </c:pt>
                <c:pt idx="105">
                  <c:v>75.605884759999995</c:v>
                </c:pt>
                <c:pt idx="106">
                  <c:v>75.89557705</c:v>
                </c:pt>
                <c:pt idx="107">
                  <c:v>75.746563199999997</c:v>
                </c:pt>
                <c:pt idx="108">
                  <c:v>75.142341479999999</c:v>
                </c:pt>
                <c:pt idx="109">
                  <c:v>50.661779559999999</c:v>
                </c:pt>
                <c:pt idx="110">
                  <c:v>50.699850640000001</c:v>
                </c:pt>
                <c:pt idx="111">
                  <c:v>50.91894087</c:v>
                </c:pt>
                <c:pt idx="112">
                  <c:v>50.725258539999999</c:v>
                </c:pt>
                <c:pt idx="113">
                  <c:v>51.263871229999999</c:v>
                </c:pt>
                <c:pt idx="114">
                  <c:v>51.25091965</c:v>
                </c:pt>
                <c:pt idx="115">
                  <c:v>50.785157210000001</c:v>
                </c:pt>
                <c:pt idx="116">
                  <c:v>50.501396579999998</c:v>
                </c:pt>
                <c:pt idx="117">
                  <c:v>50.733674540000003</c:v>
                </c:pt>
                <c:pt idx="118">
                  <c:v>50.711378539999998</c:v>
                </c:pt>
                <c:pt idx="119">
                  <c:v>50.812744899999998</c:v>
                </c:pt>
                <c:pt idx="120">
                  <c:v>51.014232960000001</c:v>
                </c:pt>
                <c:pt idx="121">
                  <c:v>50.353521409999999</c:v>
                </c:pt>
                <c:pt idx="122">
                  <c:v>50.43552957</c:v>
                </c:pt>
                <c:pt idx="123">
                  <c:v>50.63098196</c:v>
                </c:pt>
                <c:pt idx="124">
                  <c:v>51.0668072</c:v>
                </c:pt>
                <c:pt idx="125">
                  <c:v>50.79235473</c:v>
                </c:pt>
                <c:pt idx="126">
                  <c:v>50.551278060000001</c:v>
                </c:pt>
                <c:pt idx="127">
                  <c:v>50.55975806</c:v>
                </c:pt>
                <c:pt idx="128">
                  <c:v>75.325978550000002</c:v>
                </c:pt>
                <c:pt idx="129">
                  <c:v>75.044725779999993</c:v>
                </c:pt>
                <c:pt idx="130">
                  <c:v>75.287087720000002</c:v>
                </c:pt>
                <c:pt idx="131">
                  <c:v>75.239969979999998</c:v>
                </c:pt>
                <c:pt idx="132">
                  <c:v>75.152459199999996</c:v>
                </c:pt>
                <c:pt idx="133">
                  <c:v>75.961840089999995</c:v>
                </c:pt>
                <c:pt idx="134">
                  <c:v>75.44806251</c:v>
                </c:pt>
                <c:pt idx="135">
                  <c:v>75.759383819999996</c:v>
                </c:pt>
                <c:pt idx="136">
                  <c:v>50.378262300000003</c:v>
                </c:pt>
                <c:pt idx="137">
                  <c:v>50.533635009999998</c:v>
                </c:pt>
                <c:pt idx="138">
                  <c:v>77.500907319999996</c:v>
                </c:pt>
                <c:pt idx="139">
                  <c:v>50.691124189999996</c:v>
                </c:pt>
                <c:pt idx="140">
                  <c:v>49.990394950000002</c:v>
                </c:pt>
                <c:pt idx="141">
                  <c:v>50.12718203</c:v>
                </c:pt>
              </c:numCache>
            </c:numRef>
          </c:xVal>
          <c:yVal>
            <c:numRef>
              <c:f>'Exercise 11'!$Q$22:$Q$163</c:f>
              <c:numCache>
                <c:formatCode>General</c:formatCode>
                <c:ptCount val="142"/>
                <c:pt idx="0">
                  <c:v>90.867412329999993</c:v>
                </c:pt>
                <c:pt idx="1">
                  <c:v>89.102394590000003</c:v>
                </c:pt>
                <c:pt idx="2">
                  <c:v>85.460047399999993</c:v>
                </c:pt>
                <c:pt idx="3">
                  <c:v>83.057669529999998</c:v>
                </c:pt>
                <c:pt idx="4">
                  <c:v>82.937821779999993</c:v>
                </c:pt>
                <c:pt idx="5">
                  <c:v>82.975253570000007</c:v>
                </c:pt>
                <c:pt idx="6">
                  <c:v>82.914891130000001</c:v>
                </c:pt>
                <c:pt idx="7">
                  <c:v>82.929084979999999</c:v>
                </c:pt>
                <c:pt idx="8">
                  <c:v>82.874200500000001</c:v>
                </c:pt>
                <c:pt idx="9">
                  <c:v>82.924097770000003</c:v>
                </c:pt>
                <c:pt idx="10">
                  <c:v>82.821184110000004</c:v>
                </c:pt>
                <c:pt idx="11">
                  <c:v>51.487386530000002</c:v>
                </c:pt>
                <c:pt idx="12">
                  <c:v>51.414846560000001</c:v>
                </c:pt>
                <c:pt idx="13">
                  <c:v>52.076799440000002</c:v>
                </c:pt>
                <c:pt idx="14">
                  <c:v>51.71207905</c:v>
                </c:pt>
                <c:pt idx="15">
                  <c:v>50.708907930000002</c:v>
                </c:pt>
                <c:pt idx="16">
                  <c:v>51.653046750000001</c:v>
                </c:pt>
                <c:pt idx="17">
                  <c:v>51.181989170000001</c:v>
                </c:pt>
                <c:pt idx="18">
                  <c:v>51.418552259999998</c:v>
                </c:pt>
                <c:pt idx="19">
                  <c:v>52.123011050000002</c:v>
                </c:pt>
                <c:pt idx="20">
                  <c:v>50.621554760000002</c:v>
                </c:pt>
                <c:pt idx="21">
                  <c:v>50.074739010000002</c:v>
                </c:pt>
                <c:pt idx="22">
                  <c:v>51.502442100000003</c:v>
                </c:pt>
                <c:pt idx="23">
                  <c:v>51.861952090000003</c:v>
                </c:pt>
                <c:pt idx="24">
                  <c:v>52.257790610000001</c:v>
                </c:pt>
                <c:pt idx="25">
                  <c:v>51.197944319999998</c:v>
                </c:pt>
                <c:pt idx="26">
                  <c:v>82.941828819999998</c:v>
                </c:pt>
                <c:pt idx="27">
                  <c:v>83.752342970000001</c:v>
                </c:pt>
                <c:pt idx="28">
                  <c:v>51.975250670000001</c:v>
                </c:pt>
                <c:pt idx="29">
                  <c:v>51.073395650000002</c:v>
                </c:pt>
                <c:pt idx="30">
                  <c:v>51.338090200000003</c:v>
                </c:pt>
                <c:pt idx="31">
                  <c:v>52.176837499999998</c:v>
                </c:pt>
                <c:pt idx="32">
                  <c:v>51.201765049999999</c:v>
                </c:pt>
                <c:pt idx="33">
                  <c:v>50.44143545</c:v>
                </c:pt>
                <c:pt idx="34">
                  <c:v>51.416205150000003</c:v>
                </c:pt>
                <c:pt idx="35">
                  <c:v>17.145631089999998</c:v>
                </c:pt>
                <c:pt idx="36">
                  <c:v>17.14132373</c:v>
                </c:pt>
                <c:pt idx="37">
                  <c:v>17.081908689999999</c:v>
                </c:pt>
                <c:pt idx="38">
                  <c:v>16.925013530000001</c:v>
                </c:pt>
                <c:pt idx="39">
                  <c:v>50.661963409999998</c:v>
                </c:pt>
                <c:pt idx="40">
                  <c:v>51.399097480000002</c:v>
                </c:pt>
                <c:pt idx="41">
                  <c:v>50.795281520000003</c:v>
                </c:pt>
                <c:pt idx="42">
                  <c:v>50.686037089999999</c:v>
                </c:pt>
                <c:pt idx="43">
                  <c:v>51.524761259999998</c:v>
                </c:pt>
                <c:pt idx="44">
                  <c:v>17.405390969999999</c:v>
                </c:pt>
                <c:pt idx="45">
                  <c:v>17.203722129999999</c:v>
                </c:pt>
                <c:pt idx="46">
                  <c:v>17.093823910000001</c:v>
                </c:pt>
                <c:pt idx="47">
                  <c:v>17.11384266</c:v>
                </c:pt>
                <c:pt idx="48">
                  <c:v>17.023744539999999</c:v>
                </c:pt>
                <c:pt idx="49">
                  <c:v>17.11492526</c:v>
                </c:pt>
                <c:pt idx="50">
                  <c:v>17.077777319999999</c:v>
                </c:pt>
                <c:pt idx="51">
                  <c:v>16.98102188</c:v>
                </c:pt>
                <c:pt idx="52">
                  <c:v>17.03857897</c:v>
                </c:pt>
                <c:pt idx="53">
                  <c:v>50.690562720000003</c:v>
                </c:pt>
                <c:pt idx="54">
                  <c:v>51.294469220000003</c:v>
                </c:pt>
                <c:pt idx="55">
                  <c:v>51.594356169999998</c:v>
                </c:pt>
                <c:pt idx="56">
                  <c:v>52.335765530000003</c:v>
                </c:pt>
                <c:pt idx="57">
                  <c:v>52.045528650000001</c:v>
                </c:pt>
                <c:pt idx="58">
                  <c:v>51.746730040000003</c:v>
                </c:pt>
                <c:pt idx="59">
                  <c:v>50.31866042</c:v>
                </c:pt>
                <c:pt idx="60">
                  <c:v>51.461824819999997</c:v>
                </c:pt>
                <c:pt idx="61">
                  <c:v>52.123689849999998</c:v>
                </c:pt>
                <c:pt idx="62">
                  <c:v>51.967136699999998</c:v>
                </c:pt>
                <c:pt idx="63">
                  <c:v>82.985662020000007</c:v>
                </c:pt>
                <c:pt idx="64">
                  <c:v>83.114479340000003</c:v>
                </c:pt>
                <c:pt idx="65">
                  <c:v>82.982656860000006</c:v>
                </c:pt>
                <c:pt idx="66">
                  <c:v>82.846041130000003</c:v>
                </c:pt>
                <c:pt idx="67">
                  <c:v>83.184622329999996</c:v>
                </c:pt>
                <c:pt idx="68">
                  <c:v>82.909901469999994</c:v>
                </c:pt>
                <c:pt idx="69">
                  <c:v>82.935328409999997</c:v>
                </c:pt>
                <c:pt idx="70">
                  <c:v>83.969920380000005</c:v>
                </c:pt>
                <c:pt idx="71">
                  <c:v>82.993665489999998</c:v>
                </c:pt>
                <c:pt idx="72">
                  <c:v>83.099519119999997</c:v>
                </c:pt>
                <c:pt idx="73">
                  <c:v>83.708317699999995</c:v>
                </c:pt>
                <c:pt idx="74">
                  <c:v>82.901950099999993</c:v>
                </c:pt>
                <c:pt idx="75">
                  <c:v>51.438876229999998</c:v>
                </c:pt>
                <c:pt idx="76">
                  <c:v>51.304112150000002</c:v>
                </c:pt>
                <c:pt idx="77">
                  <c:v>51.59365408</c:v>
                </c:pt>
                <c:pt idx="78">
                  <c:v>94.249327829999999</c:v>
                </c:pt>
                <c:pt idx="79">
                  <c:v>92.979117529999996</c:v>
                </c:pt>
                <c:pt idx="80">
                  <c:v>88.386441739999995</c:v>
                </c:pt>
                <c:pt idx="81">
                  <c:v>83.903497380000005</c:v>
                </c:pt>
                <c:pt idx="82">
                  <c:v>83.462303340000005</c:v>
                </c:pt>
                <c:pt idx="83">
                  <c:v>82.919458860000006</c:v>
                </c:pt>
                <c:pt idx="84">
                  <c:v>82.884051389999996</c:v>
                </c:pt>
                <c:pt idx="85">
                  <c:v>82.932115780000004</c:v>
                </c:pt>
                <c:pt idx="86">
                  <c:v>82.962388790000006</c:v>
                </c:pt>
                <c:pt idx="87">
                  <c:v>83.034997169999997</c:v>
                </c:pt>
                <c:pt idx="88">
                  <c:v>82.945279299999996</c:v>
                </c:pt>
                <c:pt idx="89">
                  <c:v>51.151770329999998</c:v>
                </c:pt>
                <c:pt idx="90">
                  <c:v>50.475578970000001</c:v>
                </c:pt>
                <c:pt idx="91">
                  <c:v>52.157799269999998</c:v>
                </c:pt>
                <c:pt idx="92">
                  <c:v>52.104652059999999</c:v>
                </c:pt>
                <c:pt idx="93">
                  <c:v>51.16563781</c:v>
                </c:pt>
                <c:pt idx="94">
                  <c:v>51.867562300000003</c:v>
                </c:pt>
                <c:pt idx="95">
                  <c:v>51.907516540000003</c:v>
                </c:pt>
                <c:pt idx="96">
                  <c:v>49.662545530000003</c:v>
                </c:pt>
                <c:pt idx="97">
                  <c:v>17.111251209999999</c:v>
                </c:pt>
                <c:pt idx="98">
                  <c:v>51.878860349999997</c:v>
                </c:pt>
                <c:pt idx="99">
                  <c:v>51.391591519999999</c:v>
                </c:pt>
                <c:pt idx="100">
                  <c:v>17.048289409999999</c:v>
                </c:pt>
                <c:pt idx="101">
                  <c:v>17.015653189999998</c:v>
                </c:pt>
                <c:pt idx="102">
                  <c:v>17.062192140000001</c:v>
                </c:pt>
                <c:pt idx="103">
                  <c:v>17.041106889999998</c:v>
                </c:pt>
                <c:pt idx="104">
                  <c:v>17.134893909999999</c:v>
                </c:pt>
                <c:pt idx="105">
                  <c:v>17.067723059999999</c:v>
                </c:pt>
                <c:pt idx="106">
                  <c:v>17.169949710000001</c:v>
                </c:pt>
                <c:pt idx="107">
                  <c:v>17.105716510000001</c:v>
                </c:pt>
                <c:pt idx="108">
                  <c:v>16.754923890000001</c:v>
                </c:pt>
                <c:pt idx="109">
                  <c:v>17.078140520000002</c:v>
                </c:pt>
                <c:pt idx="110">
                  <c:v>17.085184380000001</c:v>
                </c:pt>
                <c:pt idx="111">
                  <c:v>17.14760476</c:v>
                </c:pt>
                <c:pt idx="112">
                  <c:v>16.907469809999998</c:v>
                </c:pt>
                <c:pt idx="113">
                  <c:v>17.162349710000001</c:v>
                </c:pt>
                <c:pt idx="114">
                  <c:v>17.240455860000001</c:v>
                </c:pt>
                <c:pt idx="115">
                  <c:v>17.180196479999999</c:v>
                </c:pt>
                <c:pt idx="116">
                  <c:v>17.105770719999999</c:v>
                </c:pt>
                <c:pt idx="117">
                  <c:v>16.992963410000002</c:v>
                </c:pt>
                <c:pt idx="118">
                  <c:v>17.088315850000001</c:v>
                </c:pt>
                <c:pt idx="119">
                  <c:v>16.572718049999999</c:v>
                </c:pt>
                <c:pt idx="120">
                  <c:v>17.221095529999999</c:v>
                </c:pt>
                <c:pt idx="121">
                  <c:v>17.06474308</c:v>
                </c:pt>
                <c:pt idx="122">
                  <c:v>17.065168499999999</c:v>
                </c:pt>
                <c:pt idx="123">
                  <c:v>17.076522350000001</c:v>
                </c:pt>
                <c:pt idx="124">
                  <c:v>17.208859709999999</c:v>
                </c:pt>
                <c:pt idx="125">
                  <c:v>17.20421434</c:v>
                </c:pt>
                <c:pt idx="126">
                  <c:v>17.084655179999999</c:v>
                </c:pt>
                <c:pt idx="127">
                  <c:v>17.093883770000001</c:v>
                </c:pt>
                <c:pt idx="128">
                  <c:v>15.77189199</c:v>
                </c:pt>
                <c:pt idx="129">
                  <c:v>17.004262260000001</c:v>
                </c:pt>
                <c:pt idx="130">
                  <c:v>16.174934910000001</c:v>
                </c:pt>
                <c:pt idx="131">
                  <c:v>17.031847490000001</c:v>
                </c:pt>
                <c:pt idx="132">
                  <c:v>17.004942400000001</c:v>
                </c:pt>
                <c:pt idx="133">
                  <c:v>16.694842229999999</c:v>
                </c:pt>
                <c:pt idx="134">
                  <c:v>17.045149410000001</c:v>
                </c:pt>
                <c:pt idx="135">
                  <c:v>16.94292965</c:v>
                </c:pt>
                <c:pt idx="136">
                  <c:v>16.94627981</c:v>
                </c:pt>
                <c:pt idx="137">
                  <c:v>17.019581370000001</c:v>
                </c:pt>
                <c:pt idx="138">
                  <c:v>50.166985949999997</c:v>
                </c:pt>
                <c:pt idx="139">
                  <c:v>87.513960420000004</c:v>
                </c:pt>
                <c:pt idx="140">
                  <c:v>83.997356920000001</c:v>
                </c:pt>
                <c:pt idx="141">
                  <c:v>82.990750000000006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DB-2F4F-B384-45E0643F0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808880"/>
        <c:axId val="303810592"/>
      </c:scatterChart>
      <c:valAx>
        <c:axId val="30380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810592"/>
        <c:crosses val="autoZero"/>
        <c:crossBetween val="midCat"/>
      </c:valAx>
      <c:valAx>
        <c:axId val="30381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80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Dataset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'Exercise 11'!$T$22:$T$163</c:f>
              <c:numCache>
                <c:formatCode>General</c:formatCode>
                <c:ptCount val="142"/>
                <c:pt idx="0">
                  <c:v>51.203891140000003</c:v>
                </c:pt>
                <c:pt idx="1">
                  <c:v>58.974469900000003</c:v>
                </c:pt>
                <c:pt idx="2">
                  <c:v>51.872072670000001</c:v>
                </c:pt>
                <c:pt idx="3">
                  <c:v>48.17993079</c:v>
                </c:pt>
                <c:pt idx="4">
                  <c:v>41.683200399999997</c:v>
                </c:pt>
                <c:pt idx="5">
                  <c:v>37.890415500000003</c:v>
                </c:pt>
                <c:pt idx="6">
                  <c:v>39.548973689999997</c:v>
                </c:pt>
                <c:pt idx="7">
                  <c:v>39.649573879999998</c:v>
                </c:pt>
                <c:pt idx="8">
                  <c:v>34.750597050000003</c:v>
                </c:pt>
                <c:pt idx="9">
                  <c:v>27.56083529</c:v>
                </c:pt>
                <c:pt idx="10">
                  <c:v>24.635539980000001</c:v>
                </c:pt>
                <c:pt idx="11">
                  <c:v>20.95946481</c:v>
                </c:pt>
                <c:pt idx="12">
                  <c:v>20.689149050000001</c:v>
                </c:pt>
                <c:pt idx="13">
                  <c:v>19.288204740000001</c:v>
                </c:pt>
                <c:pt idx="14">
                  <c:v>20.024500570000001</c:v>
                </c:pt>
                <c:pt idx="15">
                  <c:v>35.469523000000002</c:v>
                </c:pt>
                <c:pt idx="16">
                  <c:v>36.894327650000001</c:v>
                </c:pt>
                <c:pt idx="17">
                  <c:v>39.05554978</c:v>
                </c:pt>
                <c:pt idx="18">
                  <c:v>46.957080150000003</c:v>
                </c:pt>
                <c:pt idx="19">
                  <c:v>37.310452740000002</c:v>
                </c:pt>
                <c:pt idx="20">
                  <c:v>40.009672000000002</c:v>
                </c:pt>
                <c:pt idx="21">
                  <c:v>48.014386680000001</c:v>
                </c:pt>
                <c:pt idx="22">
                  <c:v>53.703775929999999</c:v>
                </c:pt>
                <c:pt idx="23">
                  <c:v>63.067499890000001</c:v>
                </c:pt>
                <c:pt idx="24">
                  <c:v>62.048032509999999</c:v>
                </c:pt>
                <c:pt idx="25">
                  <c:v>59.839966709999999</c:v>
                </c:pt>
                <c:pt idx="26">
                  <c:v>55.160941819999998</c:v>
                </c:pt>
                <c:pt idx="27">
                  <c:v>61.27978658</c:v>
                </c:pt>
                <c:pt idx="28">
                  <c:v>60.834917529999998</c:v>
                </c:pt>
                <c:pt idx="29">
                  <c:v>61.520590650000003</c:v>
                </c:pt>
                <c:pt idx="30">
                  <c:v>36.916543859999997</c:v>
                </c:pt>
                <c:pt idx="31">
                  <c:v>38.502199670000003</c:v>
                </c:pt>
                <c:pt idx="32">
                  <c:v>48.664370730000002</c:v>
                </c:pt>
                <c:pt idx="33">
                  <c:v>50.285252399999997</c:v>
                </c:pt>
                <c:pt idx="34">
                  <c:v>42.276332670000002</c:v>
                </c:pt>
                <c:pt idx="35">
                  <c:v>54.031775619999998</c:v>
                </c:pt>
                <c:pt idx="36">
                  <c:v>37.32935526</c:v>
                </c:pt>
                <c:pt idx="37">
                  <c:v>41.389522550000002</c:v>
                </c:pt>
                <c:pt idx="38">
                  <c:v>40.074666659999998</c:v>
                </c:pt>
                <c:pt idx="39">
                  <c:v>35.349680620000001</c:v>
                </c:pt>
                <c:pt idx="40">
                  <c:v>34.763700419999999</c:v>
                </c:pt>
                <c:pt idx="41">
                  <c:v>37.026629450000001</c:v>
                </c:pt>
                <c:pt idx="42">
                  <c:v>36.455569529999998</c:v>
                </c:pt>
                <c:pt idx="43">
                  <c:v>35.537664210000003</c:v>
                </c:pt>
                <c:pt idx="44">
                  <c:v>20.40894789</c:v>
                </c:pt>
                <c:pt idx="45">
                  <c:v>23.495710469999999</c:v>
                </c:pt>
                <c:pt idx="46">
                  <c:v>29.55754336</c:v>
                </c:pt>
                <c:pt idx="47">
                  <c:v>33.008233910000001</c:v>
                </c:pt>
                <c:pt idx="48">
                  <c:v>53.980399179999999</c:v>
                </c:pt>
                <c:pt idx="49">
                  <c:v>52.234308599999999</c:v>
                </c:pt>
                <c:pt idx="50">
                  <c:v>59.503076610000001</c:v>
                </c:pt>
                <c:pt idx="51">
                  <c:v>41.163781069999999</c:v>
                </c:pt>
                <c:pt idx="52">
                  <c:v>48.993040120000003</c:v>
                </c:pt>
                <c:pt idx="53">
                  <c:v>59.26928032</c:v>
                </c:pt>
                <c:pt idx="54">
                  <c:v>45.469177000000002</c:v>
                </c:pt>
                <c:pt idx="55">
                  <c:v>62.691266540000001</c:v>
                </c:pt>
                <c:pt idx="56">
                  <c:v>73.428670870000005</c:v>
                </c:pt>
                <c:pt idx="57">
                  <c:v>70.846426109999996</c:v>
                </c:pt>
                <c:pt idx="58">
                  <c:v>71.539019850000003</c:v>
                </c:pt>
                <c:pt idx="59">
                  <c:v>67.620865890000005</c:v>
                </c:pt>
                <c:pt idx="60">
                  <c:v>72.470952560000001</c:v>
                </c:pt>
                <c:pt idx="61">
                  <c:v>64.81223756</c:v>
                </c:pt>
                <c:pt idx="62">
                  <c:v>60.853679870000001</c:v>
                </c:pt>
                <c:pt idx="63">
                  <c:v>67.789496159999999</c:v>
                </c:pt>
                <c:pt idx="64">
                  <c:v>41.609557270000003</c:v>
                </c:pt>
                <c:pt idx="65">
                  <c:v>53.003025319999999</c:v>
                </c:pt>
                <c:pt idx="66">
                  <c:v>54.714171059999998</c:v>
                </c:pt>
                <c:pt idx="67">
                  <c:v>44.291668719999997</c:v>
                </c:pt>
                <c:pt idx="68">
                  <c:v>49.191721960000002</c:v>
                </c:pt>
                <c:pt idx="69">
                  <c:v>53.101381779999997</c:v>
                </c:pt>
                <c:pt idx="70">
                  <c:v>51.59984815</c:v>
                </c:pt>
                <c:pt idx="71">
                  <c:v>54.379721949999997</c:v>
                </c:pt>
                <c:pt idx="72">
                  <c:v>46.480768099999999</c:v>
                </c:pt>
                <c:pt idx="73">
                  <c:v>53.17465627</c:v>
                </c:pt>
                <c:pt idx="74">
                  <c:v>45.27200294</c:v>
                </c:pt>
                <c:pt idx="75">
                  <c:v>36.033402150000001</c:v>
                </c:pt>
                <c:pt idx="76">
                  <c:v>28.271194170000001</c:v>
                </c:pt>
                <c:pt idx="77">
                  <c:v>25.054806079999999</c:v>
                </c:pt>
                <c:pt idx="78">
                  <c:v>64.758887000000001</c:v>
                </c:pt>
                <c:pt idx="79">
                  <c:v>63.144527480000001</c:v>
                </c:pt>
                <c:pt idx="80">
                  <c:v>50.42467869</c:v>
                </c:pt>
                <c:pt idx="81">
                  <c:v>70.644996259999999</c:v>
                </c:pt>
                <c:pt idx="82">
                  <c:v>63.149049079999998</c:v>
                </c:pt>
                <c:pt idx="83">
                  <c:v>62.824024520000002</c:v>
                </c:pt>
                <c:pt idx="84">
                  <c:v>70.236869519999999</c:v>
                </c:pt>
                <c:pt idx="85">
                  <c:v>70.042735239999999</c:v>
                </c:pt>
                <c:pt idx="86">
                  <c:v>72.570623449999999</c:v>
                </c:pt>
                <c:pt idx="87">
                  <c:v>75.130716039999996</c:v>
                </c:pt>
                <c:pt idx="88">
                  <c:v>83.293905730000006</c:v>
                </c:pt>
                <c:pt idx="89">
                  <c:v>79.664262280000003</c:v>
                </c:pt>
                <c:pt idx="90">
                  <c:v>88.432102529999995</c:v>
                </c:pt>
                <c:pt idx="91">
                  <c:v>89.115559009999998</c:v>
                </c:pt>
                <c:pt idx="92">
                  <c:v>89.092197630000001</c:v>
                </c:pt>
                <c:pt idx="93">
                  <c:v>91.72600577</c:v>
                </c:pt>
                <c:pt idx="94">
                  <c:v>91.735538759999997</c:v>
                </c:pt>
                <c:pt idx="95">
                  <c:v>91.507888170000001</c:v>
                </c:pt>
                <c:pt idx="96">
                  <c:v>88.239001900000005</c:v>
                </c:pt>
                <c:pt idx="97">
                  <c:v>88.530519200000001</c:v>
                </c:pt>
                <c:pt idx="98">
                  <c:v>55.365160340000003</c:v>
                </c:pt>
                <c:pt idx="99">
                  <c:v>62.560258869999998</c:v>
                </c:pt>
                <c:pt idx="100">
                  <c:v>58.006669119999998</c:v>
                </c:pt>
                <c:pt idx="101">
                  <c:v>55.06711799</c:v>
                </c:pt>
                <c:pt idx="102">
                  <c:v>61.614775960000003</c:v>
                </c:pt>
                <c:pt idx="103">
                  <c:v>68.543143540000003</c:v>
                </c:pt>
                <c:pt idx="104">
                  <c:v>77.706109650000002</c:v>
                </c:pt>
                <c:pt idx="105">
                  <c:v>68.453046000000001</c:v>
                </c:pt>
                <c:pt idx="106">
                  <c:v>68.257206440000004</c:v>
                </c:pt>
                <c:pt idx="107">
                  <c:v>70.255474669999998</c:v>
                </c:pt>
                <c:pt idx="108">
                  <c:v>65.044325279999995</c:v>
                </c:pt>
                <c:pt idx="109">
                  <c:v>60.092246609999997</c:v>
                </c:pt>
                <c:pt idx="110">
                  <c:v>52.99202897</c:v>
                </c:pt>
                <c:pt idx="111">
                  <c:v>50.14462898</c:v>
                </c:pt>
                <c:pt idx="112">
                  <c:v>46.508614190000003</c:v>
                </c:pt>
                <c:pt idx="113">
                  <c:v>43.807031960000003</c:v>
                </c:pt>
                <c:pt idx="114">
                  <c:v>57.817854689999997</c:v>
                </c:pt>
                <c:pt idx="115">
                  <c:v>50.940492659999997</c:v>
                </c:pt>
                <c:pt idx="116">
                  <c:v>63.497323080000001</c:v>
                </c:pt>
                <c:pt idx="117">
                  <c:v>50.016482949999997</c:v>
                </c:pt>
                <c:pt idx="118">
                  <c:v>58.636765080000004</c:v>
                </c:pt>
                <c:pt idx="119">
                  <c:v>54.730289089999999</c:v>
                </c:pt>
                <c:pt idx="120">
                  <c:v>65.875547800000007</c:v>
                </c:pt>
                <c:pt idx="121">
                  <c:v>57.060982709999998</c:v>
                </c:pt>
                <c:pt idx="122">
                  <c:v>46.819907950000001</c:v>
                </c:pt>
                <c:pt idx="123">
                  <c:v>38.359394870000003</c:v>
                </c:pt>
                <c:pt idx="124">
                  <c:v>47.315415780000002</c:v>
                </c:pt>
                <c:pt idx="125">
                  <c:v>55.051916540000001</c:v>
                </c:pt>
                <c:pt idx="126">
                  <c:v>50.51596026</c:v>
                </c:pt>
                <c:pt idx="127">
                  <c:v>49.677414650000003</c:v>
                </c:pt>
                <c:pt idx="128">
                  <c:v>67.28065952</c:v>
                </c:pt>
                <c:pt idx="129">
                  <c:v>66.173018260000006</c:v>
                </c:pt>
                <c:pt idx="130">
                  <c:v>61.088544140000003</c:v>
                </c:pt>
                <c:pt idx="131">
                  <c:v>66.053085769999996</c:v>
                </c:pt>
                <c:pt idx="132">
                  <c:v>72.669989270000002</c:v>
                </c:pt>
                <c:pt idx="133">
                  <c:v>61.503472500000001</c:v>
                </c:pt>
                <c:pt idx="134">
                  <c:v>68.995028629999993</c:v>
                </c:pt>
                <c:pt idx="135">
                  <c:v>78.249916170000006</c:v>
                </c:pt>
                <c:pt idx="136">
                  <c:v>36.481980569999997</c:v>
                </c:pt>
                <c:pt idx="137">
                  <c:v>50.967748380000003</c:v>
                </c:pt>
                <c:pt idx="138">
                  <c:v>91.191053609999997</c:v>
                </c:pt>
                <c:pt idx="139">
                  <c:v>55.863768489999998</c:v>
                </c:pt>
                <c:pt idx="140">
                  <c:v>49.280594800000003</c:v>
                </c:pt>
                <c:pt idx="141">
                  <c:v>43.368501539999997</c:v>
                </c:pt>
              </c:numCache>
            </c:numRef>
          </c:xVal>
          <c:yVal>
            <c:numRef>
              <c:f>'Exercise 11'!$U$22:$U$163</c:f>
              <c:numCache>
                <c:formatCode>General</c:formatCode>
                <c:ptCount val="142"/>
                <c:pt idx="0">
                  <c:v>83.339776610000001</c:v>
                </c:pt>
                <c:pt idx="1">
                  <c:v>85.499817609999994</c:v>
                </c:pt>
                <c:pt idx="2">
                  <c:v>85.829737629999997</c:v>
                </c:pt>
                <c:pt idx="3">
                  <c:v>85.045116739999997</c:v>
                </c:pt>
                <c:pt idx="4">
                  <c:v>84.017940600000003</c:v>
                </c:pt>
                <c:pt idx="5">
                  <c:v>82.567492999999999</c:v>
                </c:pt>
                <c:pt idx="6">
                  <c:v>80.812601770000001</c:v>
                </c:pt>
                <c:pt idx="7">
                  <c:v>82.66453387</c:v>
                </c:pt>
                <c:pt idx="8">
                  <c:v>80.01109099</c:v>
                </c:pt>
                <c:pt idx="9">
                  <c:v>72.847825589999999</c:v>
                </c:pt>
                <c:pt idx="10">
                  <c:v>71.610714830000006</c:v>
                </c:pt>
                <c:pt idx="11">
                  <c:v>66.041498379999993</c:v>
                </c:pt>
                <c:pt idx="12">
                  <c:v>62.721305209999997</c:v>
                </c:pt>
                <c:pt idx="13">
                  <c:v>62.063059359999997</c:v>
                </c:pt>
                <c:pt idx="14">
                  <c:v>61.342623869999997</c:v>
                </c:pt>
                <c:pt idx="15">
                  <c:v>43.115884950000002</c:v>
                </c:pt>
                <c:pt idx="16">
                  <c:v>47.706555969999997</c:v>
                </c:pt>
                <c:pt idx="17">
                  <c:v>55.546973710000003</c:v>
                </c:pt>
                <c:pt idx="18">
                  <c:v>65.240407390000001</c:v>
                </c:pt>
                <c:pt idx="19">
                  <c:v>45.258750900000003</c:v>
                </c:pt>
                <c:pt idx="20">
                  <c:v>60.986582509999998</c:v>
                </c:pt>
                <c:pt idx="21">
                  <c:v>65.712819589999995</c:v>
                </c:pt>
                <c:pt idx="22">
                  <c:v>66.389482040000004</c:v>
                </c:pt>
                <c:pt idx="23">
                  <c:v>64.035000460000006</c:v>
                </c:pt>
                <c:pt idx="24">
                  <c:v>63.845863250000001</c:v>
                </c:pt>
                <c:pt idx="25">
                  <c:v>64.476764439999997</c:v>
                </c:pt>
                <c:pt idx="26">
                  <c:v>65.237308170000006</c:v>
                </c:pt>
                <c:pt idx="27">
                  <c:v>65.766402499999998</c:v>
                </c:pt>
                <c:pt idx="28">
                  <c:v>64.603769709999995</c:v>
                </c:pt>
                <c:pt idx="29">
                  <c:v>64.791855040000002</c:v>
                </c:pt>
                <c:pt idx="30">
                  <c:v>41.095247440000001</c:v>
                </c:pt>
                <c:pt idx="31">
                  <c:v>41.567155620000001</c:v>
                </c:pt>
                <c:pt idx="32">
                  <c:v>30.680666850000001</c:v>
                </c:pt>
                <c:pt idx="33">
                  <c:v>30.337922110000001</c:v>
                </c:pt>
                <c:pt idx="34">
                  <c:v>34.527636119999997</c:v>
                </c:pt>
                <c:pt idx="35">
                  <c:v>29.67234831</c:v>
                </c:pt>
                <c:pt idx="36">
                  <c:v>39.602042310000002</c:v>
                </c:pt>
                <c:pt idx="37">
                  <c:v>37.296056229999998</c:v>
                </c:pt>
                <c:pt idx="38">
                  <c:v>34.623685199999997</c:v>
                </c:pt>
                <c:pt idx="39">
                  <c:v>47.141073130000002</c:v>
                </c:pt>
                <c:pt idx="40">
                  <c:v>47.624799920000001</c:v>
                </c:pt>
                <c:pt idx="41">
                  <c:v>44.46229305</c:v>
                </c:pt>
                <c:pt idx="42">
                  <c:v>40.791843030000003</c:v>
                </c:pt>
                <c:pt idx="43">
                  <c:v>48.729386869999999</c:v>
                </c:pt>
                <c:pt idx="44">
                  <c:v>32.203030419999997</c:v>
                </c:pt>
                <c:pt idx="45">
                  <c:v>25.322468149999999</c:v>
                </c:pt>
                <c:pt idx="46">
                  <c:v>21.364777459999999</c:v>
                </c:pt>
                <c:pt idx="47">
                  <c:v>15.98507146</c:v>
                </c:pt>
                <c:pt idx="48">
                  <c:v>29.350986710000001</c:v>
                </c:pt>
                <c:pt idx="49">
                  <c:v>29.71167299</c:v>
                </c:pt>
                <c:pt idx="50">
                  <c:v>30.669673939999999</c:v>
                </c:pt>
                <c:pt idx="51">
                  <c:v>34.315758250000002</c:v>
                </c:pt>
                <c:pt idx="52">
                  <c:v>32.030358839999998</c:v>
                </c:pt>
                <c:pt idx="53">
                  <c:v>29.64070177</c:v>
                </c:pt>
                <c:pt idx="54">
                  <c:v>33.831192729999998</c:v>
                </c:pt>
                <c:pt idx="55">
                  <c:v>30.29037383</c:v>
                </c:pt>
                <c:pt idx="56">
                  <c:v>48.577855130000003</c:v>
                </c:pt>
                <c:pt idx="57">
                  <c:v>52.282253330000003</c:v>
                </c:pt>
                <c:pt idx="58">
                  <c:v>45.521806159999997</c:v>
                </c:pt>
                <c:pt idx="59">
                  <c:v>38.006558470000002</c:v>
                </c:pt>
                <c:pt idx="60">
                  <c:v>51.122134819999999</c:v>
                </c:pt>
                <c:pt idx="61">
                  <c:v>62.81091559</c:v>
                </c:pt>
                <c:pt idx="62">
                  <c:v>65.499147030000003</c:v>
                </c:pt>
                <c:pt idx="63">
                  <c:v>61.363701550000002</c:v>
                </c:pt>
                <c:pt idx="64">
                  <c:v>83.848686560000004</c:v>
                </c:pt>
                <c:pt idx="65">
                  <c:v>84.674798600000003</c:v>
                </c:pt>
                <c:pt idx="66">
                  <c:v>84.043128069999995</c:v>
                </c:pt>
                <c:pt idx="67">
                  <c:v>82.909441209999997</c:v>
                </c:pt>
                <c:pt idx="68">
                  <c:v>85.876229120000005</c:v>
                </c:pt>
                <c:pt idx="69">
                  <c:v>84.547658690000006</c:v>
                </c:pt>
                <c:pt idx="70">
                  <c:v>84.819821489999995</c:v>
                </c:pt>
                <c:pt idx="71">
                  <c:v>84.240355550000004</c:v>
                </c:pt>
                <c:pt idx="72">
                  <c:v>83.518211669999999</c:v>
                </c:pt>
                <c:pt idx="73">
                  <c:v>84.260567989999998</c:v>
                </c:pt>
                <c:pt idx="74">
                  <c:v>85.237079420000001</c:v>
                </c:pt>
                <c:pt idx="75">
                  <c:v>53.37168776</c:v>
                </c:pt>
                <c:pt idx="76">
                  <c:v>72.840231259999996</c:v>
                </c:pt>
                <c:pt idx="77">
                  <c:v>71.548597920000006</c:v>
                </c:pt>
                <c:pt idx="78">
                  <c:v>82.315223639999999</c:v>
                </c:pt>
                <c:pt idx="79">
                  <c:v>85.236696330000001</c:v>
                </c:pt>
                <c:pt idx="80">
                  <c:v>85.174747589999996</c:v>
                </c:pt>
                <c:pt idx="81">
                  <c:v>82.430918759999997</c:v>
                </c:pt>
                <c:pt idx="82">
                  <c:v>83.946855350000007</c:v>
                </c:pt>
                <c:pt idx="83">
                  <c:v>84.966185949999996</c:v>
                </c:pt>
                <c:pt idx="84">
                  <c:v>82.17115106</c:v>
                </c:pt>
                <c:pt idx="85">
                  <c:v>80.385021350000002</c:v>
                </c:pt>
                <c:pt idx="86">
                  <c:v>80.971218429999993</c:v>
                </c:pt>
                <c:pt idx="87">
                  <c:v>79.984093139999999</c:v>
                </c:pt>
                <c:pt idx="88">
                  <c:v>70.778431789999999</c:v>
                </c:pt>
                <c:pt idx="89">
                  <c:v>73.932309720000006</c:v>
                </c:pt>
                <c:pt idx="90">
                  <c:v>64.624246999999997</c:v>
                </c:pt>
                <c:pt idx="91">
                  <c:v>64.001506640000002</c:v>
                </c:pt>
                <c:pt idx="92">
                  <c:v>57.768193050000001</c:v>
                </c:pt>
                <c:pt idx="93">
                  <c:v>52.623353260000002</c:v>
                </c:pt>
                <c:pt idx="94">
                  <c:v>48.970210889999997</c:v>
                </c:pt>
                <c:pt idx="95">
                  <c:v>53.31265209</c:v>
                </c:pt>
                <c:pt idx="96">
                  <c:v>31.477434880000001</c:v>
                </c:pt>
                <c:pt idx="97">
                  <c:v>30.47603101</c:v>
                </c:pt>
                <c:pt idx="98">
                  <c:v>30.445850279999998</c:v>
                </c:pt>
                <c:pt idx="99">
                  <c:v>30.447135670000002</c:v>
                </c:pt>
                <c:pt idx="100">
                  <c:v>30.253721299999999</c:v>
                </c:pt>
                <c:pt idx="101">
                  <c:v>29.011535200000001</c:v>
                </c:pt>
                <c:pt idx="102">
                  <c:v>29.994391190000002</c:v>
                </c:pt>
                <c:pt idx="103">
                  <c:v>35.657832169999999</c:v>
                </c:pt>
                <c:pt idx="104">
                  <c:v>20.304260190000001</c:v>
                </c:pt>
                <c:pt idx="105">
                  <c:v>13.03552859</c:v>
                </c:pt>
                <c:pt idx="106">
                  <c:v>12.38463915</c:v>
                </c:pt>
                <c:pt idx="107">
                  <c:v>13.250384970000001</c:v>
                </c:pt>
                <c:pt idx="108">
                  <c:v>11.00084148</c:v>
                </c:pt>
                <c:pt idx="109">
                  <c:v>11.87211171</c:v>
                </c:pt>
                <c:pt idx="110">
                  <c:v>9.9066684830000007</c:v>
                </c:pt>
                <c:pt idx="111">
                  <c:v>12.211543089999999</c:v>
                </c:pt>
                <c:pt idx="112">
                  <c:v>11.20713449</c:v>
                </c:pt>
                <c:pt idx="113">
                  <c:v>11.318944889999999</c:v>
                </c:pt>
                <c:pt idx="114">
                  <c:v>10.945142430000001</c:v>
                </c:pt>
                <c:pt idx="115">
                  <c:v>9.6915471340000003</c:v>
                </c:pt>
                <c:pt idx="116">
                  <c:v>11.914069169999999</c:v>
                </c:pt>
                <c:pt idx="117">
                  <c:v>11.93385209</c:v>
                </c:pt>
                <c:pt idx="118">
                  <c:v>11.974721069999999</c:v>
                </c:pt>
                <c:pt idx="119">
                  <c:v>11.41288267</c:v>
                </c:pt>
                <c:pt idx="120">
                  <c:v>11.732436359999999</c:v>
                </c:pt>
                <c:pt idx="121">
                  <c:v>9.9205608539999997</c:v>
                </c:pt>
                <c:pt idx="122">
                  <c:v>10.49465268</c:v>
                </c:pt>
                <c:pt idx="123">
                  <c:v>13.43132262</c:v>
                </c:pt>
                <c:pt idx="124">
                  <c:v>12.85345178</c:v>
                </c:pt>
                <c:pt idx="125">
                  <c:v>11.949988619999999</c:v>
                </c:pt>
                <c:pt idx="126">
                  <c:v>9.7655916220000005</c:v>
                </c:pt>
                <c:pt idx="127">
                  <c:v>10.383132509999999</c:v>
                </c:pt>
                <c:pt idx="128">
                  <c:v>14.128651530000001</c:v>
                </c:pt>
                <c:pt idx="129">
                  <c:v>12.03791702</c:v>
                </c:pt>
                <c:pt idx="130">
                  <c:v>10.08453441</c:v>
                </c:pt>
                <c:pt idx="131">
                  <c:v>13.380226009999999</c:v>
                </c:pt>
                <c:pt idx="132">
                  <c:v>15.23422594</c:v>
                </c:pt>
                <c:pt idx="133">
                  <c:v>10.828414479999999</c:v>
                </c:pt>
                <c:pt idx="134">
                  <c:v>13.99431053</c:v>
                </c:pt>
                <c:pt idx="135">
                  <c:v>17.883240910000001</c:v>
                </c:pt>
                <c:pt idx="136">
                  <c:v>15.162760090000001</c:v>
                </c:pt>
                <c:pt idx="137">
                  <c:v>29.679774290000001</c:v>
                </c:pt>
                <c:pt idx="138">
                  <c:v>46.674342840000001</c:v>
                </c:pt>
                <c:pt idx="139">
                  <c:v>85.33648676</c:v>
                </c:pt>
                <c:pt idx="140">
                  <c:v>84.048822830000006</c:v>
                </c:pt>
                <c:pt idx="141">
                  <c:v>84.332177200000004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3-3B4D-B5BC-DDA820212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37488"/>
        <c:axId val="76839200"/>
      </c:scatterChart>
      <c:valAx>
        <c:axId val="7683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9200"/>
        <c:crosses val="autoZero"/>
        <c:crossBetween val="midCat"/>
      </c:valAx>
      <c:valAx>
        <c:axId val="7683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501650</xdr:colOff>
      <xdr:row>1</xdr:row>
      <xdr:rowOff>50800</xdr:rowOff>
    </xdr:from>
    <xdr:to>
      <xdr:col>12</xdr:col>
      <xdr:colOff>120650</xdr:colOff>
      <xdr:row>20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6A6F67-E882-2BAA-EAE3-13E0D78E7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120650</xdr:colOff>
      <xdr:row>4</xdr:row>
      <xdr:rowOff>114300</xdr:rowOff>
    </xdr:from>
    <xdr:to>
      <xdr:col>6</xdr:col>
      <xdr:colOff>666750</xdr:colOff>
      <xdr:row>19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56935-3D16-320F-5E6D-49C618D76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74864</xdr:colOff>
      <xdr:row>5</xdr:row>
      <xdr:rowOff>17377</xdr:rowOff>
    </xdr:from>
    <xdr:to>
      <xdr:col>12</xdr:col>
      <xdr:colOff>11363</xdr:colOff>
      <xdr:row>18</xdr:row>
      <xdr:rowOff>118977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D1B9F1-94EE-421B-8001-819A29C21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548268</xdr:colOff>
      <xdr:row>5</xdr:row>
      <xdr:rowOff>130718</xdr:rowOff>
    </xdr:from>
    <xdr:to>
      <xdr:col>17</xdr:col>
      <xdr:colOff>473926</xdr:colOff>
      <xdr:row>18</xdr:row>
      <xdr:rowOff>42437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1D06CB-C8D6-7C59-D865-ABD044486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850900</xdr:colOff>
      <xdr:row>5</xdr:row>
      <xdr:rowOff>114300</xdr:rowOff>
    </xdr:from>
    <xdr:to>
      <xdr:col>22</xdr:col>
      <xdr:colOff>723900</xdr:colOff>
      <xdr:row>18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EFAC36-35E6-DF08-B673-FDDF63E24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ut2-data1" connectionId="1" xr16:uid="{5C38C429-6500-194A-B97C-54112A8BB8E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ut2-data2a" connectionId="2" xr16:uid="{1EF1963E-4B22-824D-8F4D-5222A3F24821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ut2-data2b" connectionId="3" xr16:uid="{245AEC88-86B9-D647-9D2D-8B2C076AAF4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ut2-data3" connectionId="4" xr16:uid="{4D540259-D20E-F646-862F-B6961B0463F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A8079-6BC3-364A-8DCA-ADF9ACFE0022}">
  <dimension ref="A1:F25"/>
  <sheetViews>
    <sheetView workbookViewId="0">
      <selection activeCell="F33" sqref="F33"/>
    </sheetView>
  </sheetViews>
  <sheetFormatPr baseColWidth="10" defaultRowHeight="16" x14ac:dyDescent="0.2"/>
  <cols>
    <col min="1" max="1" width="16.33203125" customWidth="1"/>
    <col min="2" max="6" width="9" bestFit="1" customWidth="1"/>
  </cols>
  <sheetData>
    <row r="1" spans="2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2">
      <c r="B2">
        <v>17</v>
      </c>
      <c r="C2">
        <v>1</v>
      </c>
      <c r="D2">
        <v>23</v>
      </c>
      <c r="E2">
        <v>31</v>
      </c>
      <c r="F2">
        <v>23</v>
      </c>
    </row>
    <row r="3" spans="2:6" x14ac:dyDescent="0.2">
      <c r="B3">
        <v>20</v>
      </c>
      <c r="C3">
        <v>34</v>
      </c>
      <c r="D3">
        <v>13</v>
      </c>
      <c r="E3">
        <v>30</v>
      </c>
      <c r="F3">
        <v>5</v>
      </c>
    </row>
    <row r="4" spans="2:6" x14ac:dyDescent="0.2">
      <c r="B4">
        <v>32</v>
      </c>
      <c r="C4">
        <v>20</v>
      </c>
      <c r="D4">
        <v>30</v>
      </c>
      <c r="E4">
        <v>34</v>
      </c>
      <c r="F4">
        <v>21</v>
      </c>
    </row>
    <row r="5" spans="2:6" x14ac:dyDescent="0.2">
      <c r="B5">
        <v>40</v>
      </c>
      <c r="C5">
        <v>27</v>
      </c>
      <c r="D5">
        <v>35</v>
      </c>
      <c r="E5">
        <v>27</v>
      </c>
      <c r="F5">
        <v>29</v>
      </c>
    </row>
    <row r="6" spans="2:6" x14ac:dyDescent="0.2">
      <c r="B6">
        <v>33</v>
      </c>
      <c r="C6">
        <v>6</v>
      </c>
      <c r="D6">
        <v>32</v>
      </c>
      <c r="E6">
        <v>31</v>
      </c>
      <c r="F6">
        <v>16</v>
      </c>
    </row>
    <row r="7" spans="2:6" x14ac:dyDescent="0.2">
      <c r="B7">
        <v>14</v>
      </c>
      <c r="C7">
        <v>17</v>
      </c>
      <c r="D7">
        <v>20</v>
      </c>
      <c r="E7">
        <v>30</v>
      </c>
      <c r="F7">
        <v>12</v>
      </c>
    </row>
    <row r="8" spans="2:6" x14ac:dyDescent="0.2">
      <c r="B8">
        <v>26</v>
      </c>
      <c r="C8">
        <v>30</v>
      </c>
      <c r="D8">
        <v>3</v>
      </c>
      <c r="E8">
        <v>19</v>
      </c>
      <c r="F8">
        <v>0</v>
      </c>
    </row>
    <row r="9" spans="2:6" x14ac:dyDescent="0.2">
      <c r="B9">
        <v>20</v>
      </c>
      <c r="C9">
        <v>20</v>
      </c>
      <c r="D9">
        <v>26</v>
      </c>
      <c r="E9">
        <v>40</v>
      </c>
      <c r="F9">
        <v>6</v>
      </c>
    </row>
    <row r="10" spans="2:6" x14ac:dyDescent="0.2">
      <c r="B10">
        <v>21</v>
      </c>
      <c r="C10">
        <v>21</v>
      </c>
      <c r="D10">
        <v>18</v>
      </c>
      <c r="E10">
        <v>34</v>
      </c>
      <c r="F10">
        <v>17</v>
      </c>
    </row>
    <row r="11" spans="2:6" x14ac:dyDescent="0.2">
      <c r="B11">
        <v>25</v>
      </c>
      <c r="C11">
        <v>12</v>
      </c>
      <c r="D11">
        <v>2</v>
      </c>
      <c r="E11">
        <v>38</v>
      </c>
      <c r="F11">
        <v>20</v>
      </c>
    </row>
    <row r="12" spans="2:6" x14ac:dyDescent="0.2">
      <c r="B12">
        <v>28</v>
      </c>
      <c r="C12">
        <v>13</v>
      </c>
      <c r="D12">
        <v>3</v>
      </c>
      <c r="E12">
        <v>38</v>
      </c>
      <c r="F12">
        <v>4</v>
      </c>
    </row>
    <row r="13" spans="2:6" x14ac:dyDescent="0.2">
      <c r="B13">
        <v>29</v>
      </c>
      <c r="C13">
        <v>22</v>
      </c>
      <c r="D13">
        <v>7</v>
      </c>
      <c r="E13">
        <v>39</v>
      </c>
      <c r="F13">
        <v>1</v>
      </c>
    </row>
    <row r="14" spans="2:6" x14ac:dyDescent="0.2">
      <c r="B14">
        <v>13</v>
      </c>
      <c r="C14">
        <v>20</v>
      </c>
      <c r="D14">
        <v>15</v>
      </c>
      <c r="E14">
        <v>20</v>
      </c>
      <c r="F14">
        <v>4</v>
      </c>
    </row>
    <row r="15" spans="2:6" x14ac:dyDescent="0.2">
      <c r="B15">
        <v>26</v>
      </c>
      <c r="C15">
        <v>25</v>
      </c>
      <c r="D15">
        <v>40</v>
      </c>
      <c r="E15">
        <v>36</v>
      </c>
      <c r="F15">
        <v>21</v>
      </c>
    </row>
    <row r="16" spans="2:6" x14ac:dyDescent="0.2">
      <c r="B16">
        <v>39</v>
      </c>
      <c r="C16">
        <v>29</v>
      </c>
      <c r="D16">
        <v>38</v>
      </c>
      <c r="E16">
        <v>37</v>
      </c>
      <c r="F16">
        <v>11</v>
      </c>
    </row>
    <row r="17" spans="1:6" x14ac:dyDescent="0.2">
      <c r="B17">
        <v>29</v>
      </c>
      <c r="C17">
        <v>14</v>
      </c>
      <c r="D17">
        <v>33</v>
      </c>
      <c r="E17">
        <v>40</v>
      </c>
      <c r="F17">
        <v>5</v>
      </c>
    </row>
    <row r="18" spans="1:6" x14ac:dyDescent="0.2">
      <c r="B18">
        <v>29</v>
      </c>
      <c r="C18">
        <v>16</v>
      </c>
      <c r="D18">
        <v>20</v>
      </c>
      <c r="E18">
        <v>36</v>
      </c>
      <c r="F18">
        <v>12</v>
      </c>
    </row>
    <row r="19" spans="1:6" x14ac:dyDescent="0.2">
      <c r="B19">
        <v>16</v>
      </c>
      <c r="C19">
        <v>39</v>
      </c>
      <c r="D19">
        <v>15</v>
      </c>
      <c r="E19">
        <v>34</v>
      </c>
      <c r="F19">
        <v>30</v>
      </c>
    </row>
    <row r="20" spans="1:6" x14ac:dyDescent="0.2">
      <c r="B20">
        <v>22</v>
      </c>
      <c r="C20">
        <v>10</v>
      </c>
      <c r="D20">
        <v>38</v>
      </c>
      <c r="E20">
        <v>26</v>
      </c>
      <c r="F20">
        <v>10</v>
      </c>
    </row>
    <row r="21" spans="1:6" x14ac:dyDescent="0.2">
      <c r="B21">
        <v>16</v>
      </c>
      <c r="C21">
        <v>25</v>
      </c>
      <c r="D21">
        <v>12</v>
      </c>
      <c r="E21">
        <v>39</v>
      </c>
      <c r="F21">
        <v>10</v>
      </c>
    </row>
    <row r="22" spans="1:6" x14ac:dyDescent="0.2">
      <c r="A22" t="s">
        <v>49</v>
      </c>
      <c r="B22" s="2">
        <v>25</v>
      </c>
      <c r="C22" s="2">
        <v>20</v>
      </c>
      <c r="D22" s="2">
        <v>20</v>
      </c>
      <c r="E22" s="2">
        <v>35</v>
      </c>
      <c r="F22" s="2">
        <v>10</v>
      </c>
    </row>
    <row r="23" spans="1:6" x14ac:dyDescent="0.2">
      <c r="A23" t="s">
        <v>50</v>
      </c>
      <c r="B23" s="2">
        <f>AVERAGE(B2:B22)</f>
        <v>24.761904761904763</v>
      </c>
      <c r="C23" s="2">
        <f>AVERAGE(C2:C22)</f>
        <v>20.047619047619047</v>
      </c>
      <c r="D23" s="2">
        <f>AVERAGE(D2:D22)</f>
        <v>21.095238095238095</v>
      </c>
      <c r="E23" s="2">
        <f>AVERAGE(E2:E22)</f>
        <v>33.047619047619051</v>
      </c>
      <c r="F23" s="2">
        <f>AVERAGE(F2:F22)</f>
        <v>12.714285714285714</v>
      </c>
    </row>
    <row r="24" spans="1:6" x14ac:dyDescent="0.2">
      <c r="A24" t="s">
        <v>52</v>
      </c>
      <c r="B24" s="2"/>
      <c r="C24" s="2"/>
      <c r="D24" s="2" t="s">
        <v>53</v>
      </c>
      <c r="E24" s="2" t="s">
        <v>54</v>
      </c>
      <c r="F24" s="2"/>
    </row>
    <row r="25" spans="1:6" x14ac:dyDescent="0.2">
      <c r="A25" t="s">
        <v>51</v>
      </c>
      <c r="B25" s="2">
        <f>_xlfn.STDEV.S(B2:B21)</f>
        <v>7.8060368002153169</v>
      </c>
      <c r="C25" s="2">
        <f t="shared" ref="C25:F25" si="0">_xlfn.STDEV.S(C2:C21)</f>
        <v>9.3834961501564003</v>
      </c>
      <c r="D25" s="2">
        <f t="shared" si="0"/>
        <v>12.444719869550255</v>
      </c>
      <c r="E25" s="2">
        <f t="shared" si="0"/>
        <v>6.2109834800515875</v>
      </c>
      <c r="F25" s="2">
        <f t="shared" si="0"/>
        <v>8.9517713624911011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FCB1-89FC-3F4C-ABAE-BCAC18BCAD72}">
  <dimension ref="A1:J51"/>
  <sheetViews>
    <sheetView workbookViewId="0">
      <selection activeCell="F9" sqref="F9"/>
    </sheetView>
  </sheetViews>
  <sheetFormatPr baseColWidth="10" defaultRowHeight="16" x14ac:dyDescent="0.2"/>
  <cols>
    <col min="1" max="4" width="4.1640625" bestFit="1" customWidth="1"/>
  </cols>
  <sheetData>
    <row r="1" spans="1:10" x14ac:dyDescent="0.2">
      <c r="A1">
        <v>1</v>
      </c>
      <c r="B1">
        <v>2</v>
      </c>
      <c r="C1">
        <v>3</v>
      </c>
      <c r="D1">
        <v>4</v>
      </c>
      <c r="G1">
        <v>1</v>
      </c>
      <c r="H1">
        <v>2</v>
      </c>
      <c r="I1">
        <v>3</v>
      </c>
      <c r="J1">
        <v>4</v>
      </c>
    </row>
    <row r="2" spans="1:10" x14ac:dyDescent="0.2">
      <c r="A2">
        <v>5.0999999999999996</v>
      </c>
      <c r="B2">
        <v>3.5</v>
      </c>
      <c r="C2">
        <v>1.4</v>
      </c>
      <c r="D2">
        <v>0.2</v>
      </c>
      <c r="F2" t="s">
        <v>55</v>
      </c>
      <c r="G2">
        <f>AVERAGE(A2:A51)</f>
        <v>5.0059999999999993</v>
      </c>
      <c r="H2">
        <f t="shared" ref="H2:J2" si="0">AVERAGE(B2:B51)</f>
        <v>3.4180000000000006</v>
      </c>
      <c r="I2">
        <f t="shared" si="0"/>
        <v>1.464</v>
      </c>
      <c r="J2">
        <f t="shared" si="0"/>
        <v>0.24399999999999991</v>
      </c>
    </row>
    <row r="3" spans="1:10" x14ac:dyDescent="0.2">
      <c r="A3">
        <v>4.9000000000000004</v>
      </c>
      <c r="B3">
        <v>3</v>
      </c>
      <c r="C3">
        <v>1.4</v>
      </c>
      <c r="D3">
        <v>0.2</v>
      </c>
      <c r="F3" t="s">
        <v>56</v>
      </c>
      <c r="G3">
        <f>MEDIAN(A2:A51)</f>
        <v>5</v>
      </c>
      <c r="H3">
        <f t="shared" ref="H3:J3" si="1">MEDIAN(B2:B51)</f>
        <v>3.4</v>
      </c>
      <c r="I3">
        <f t="shared" si="1"/>
        <v>1.5</v>
      </c>
      <c r="J3">
        <f t="shared" si="1"/>
        <v>0.2</v>
      </c>
    </row>
    <row r="4" spans="1:10" x14ac:dyDescent="0.2">
      <c r="A4">
        <v>4.7</v>
      </c>
      <c r="B4">
        <v>3.2</v>
      </c>
      <c r="C4">
        <v>1.3</v>
      </c>
      <c r="D4">
        <v>0.2</v>
      </c>
      <c r="F4" t="s">
        <v>57</v>
      </c>
      <c r="G4">
        <f>_xlfn.MODE.SNGL(A2:A51)</f>
        <v>5.0999999999999996</v>
      </c>
      <c r="H4">
        <f t="shared" ref="H4:J4" si="2">_xlfn.MODE.SNGL(B2:B51)</f>
        <v>3.4</v>
      </c>
      <c r="I4">
        <f t="shared" si="2"/>
        <v>1.5</v>
      </c>
      <c r="J4">
        <f t="shared" si="2"/>
        <v>0.2</v>
      </c>
    </row>
    <row r="5" spans="1:10" x14ac:dyDescent="0.2">
      <c r="A5">
        <v>4.5999999999999996</v>
      </c>
      <c r="B5">
        <v>3.1</v>
      </c>
      <c r="C5">
        <v>1.5</v>
      </c>
      <c r="D5">
        <v>0.2</v>
      </c>
      <c r="F5" t="s">
        <v>58</v>
      </c>
      <c r="G5">
        <f>_xlfn.STDEV.S(A2:A51)</f>
        <v>0.3524896872134512</v>
      </c>
      <c r="H5">
        <f t="shared" ref="H5:J5" si="3">_xlfn.STDEV.S(B2:B51)</f>
        <v>0.38102439795469012</v>
      </c>
      <c r="I5">
        <f t="shared" si="3"/>
        <v>0.17351115943644299</v>
      </c>
      <c r="J5">
        <f t="shared" si="3"/>
        <v>0.10720950308167866</v>
      </c>
    </row>
    <row r="6" spans="1:10" x14ac:dyDescent="0.2">
      <c r="A6">
        <v>5</v>
      </c>
      <c r="B6">
        <v>3.6</v>
      </c>
      <c r="C6">
        <v>1.4</v>
      </c>
      <c r="D6">
        <v>0.2</v>
      </c>
    </row>
    <row r="7" spans="1:10" x14ac:dyDescent="0.2">
      <c r="A7">
        <v>5.4</v>
      </c>
      <c r="B7">
        <v>3.9</v>
      </c>
      <c r="C7">
        <v>1.7</v>
      </c>
      <c r="D7">
        <v>0.4</v>
      </c>
      <c r="F7" t="s">
        <v>59</v>
      </c>
    </row>
    <row r="8" spans="1:10" x14ac:dyDescent="0.2">
      <c r="A8">
        <v>4.5999999999999996</v>
      </c>
      <c r="B8">
        <v>3.4</v>
      </c>
      <c r="C8">
        <v>1.4</v>
      </c>
      <c r="D8">
        <v>0.3</v>
      </c>
      <c r="F8" t="s">
        <v>60</v>
      </c>
    </row>
    <row r="9" spans="1:10" x14ac:dyDescent="0.2">
      <c r="A9">
        <v>5</v>
      </c>
      <c r="B9">
        <v>3.4</v>
      </c>
      <c r="C9">
        <v>1.5</v>
      </c>
      <c r="D9">
        <v>0.2</v>
      </c>
    </row>
    <row r="10" spans="1:10" x14ac:dyDescent="0.2">
      <c r="A10">
        <v>4.4000000000000004</v>
      </c>
      <c r="B10">
        <v>2.9</v>
      </c>
      <c r="C10">
        <v>1.4</v>
      </c>
      <c r="D10">
        <v>0.2</v>
      </c>
    </row>
    <row r="11" spans="1:10" x14ac:dyDescent="0.2">
      <c r="A11">
        <v>4.9000000000000004</v>
      </c>
      <c r="B11">
        <v>3.1</v>
      </c>
      <c r="C11">
        <v>1.5</v>
      </c>
      <c r="D11">
        <v>0.1</v>
      </c>
    </row>
    <row r="12" spans="1:10" x14ac:dyDescent="0.2">
      <c r="A12">
        <v>5.4</v>
      </c>
      <c r="B12">
        <v>3.7</v>
      </c>
      <c r="C12">
        <v>1.5</v>
      </c>
      <c r="D12">
        <v>0.2</v>
      </c>
    </row>
    <row r="13" spans="1:10" x14ac:dyDescent="0.2">
      <c r="A13">
        <v>4.8</v>
      </c>
      <c r="B13">
        <v>3.4</v>
      </c>
      <c r="C13">
        <v>1.6</v>
      </c>
      <c r="D13">
        <v>0.2</v>
      </c>
    </row>
    <row r="14" spans="1:10" x14ac:dyDescent="0.2">
      <c r="A14">
        <v>4.8</v>
      </c>
      <c r="B14">
        <v>3</v>
      </c>
      <c r="C14">
        <v>1.4</v>
      </c>
      <c r="D14">
        <v>0.1</v>
      </c>
    </row>
    <row r="15" spans="1:10" x14ac:dyDescent="0.2">
      <c r="A15">
        <v>4.3</v>
      </c>
      <c r="B15">
        <v>3</v>
      </c>
      <c r="C15">
        <v>1.1000000000000001</v>
      </c>
      <c r="D15">
        <v>0.1</v>
      </c>
    </row>
    <row r="16" spans="1:10" x14ac:dyDescent="0.2">
      <c r="A16">
        <v>5.8</v>
      </c>
      <c r="B16">
        <v>4</v>
      </c>
      <c r="C16">
        <v>1.2</v>
      </c>
      <c r="D16">
        <v>0.2</v>
      </c>
    </row>
    <row r="17" spans="1:4" x14ac:dyDescent="0.2">
      <c r="A17">
        <v>5.7</v>
      </c>
      <c r="B17">
        <v>4.4000000000000004</v>
      </c>
      <c r="C17">
        <v>1.5</v>
      </c>
      <c r="D17">
        <v>0.4</v>
      </c>
    </row>
    <row r="18" spans="1:4" x14ac:dyDescent="0.2">
      <c r="A18">
        <v>5.4</v>
      </c>
      <c r="B18">
        <v>3.9</v>
      </c>
      <c r="C18">
        <v>1.3</v>
      </c>
      <c r="D18">
        <v>0.4</v>
      </c>
    </row>
    <row r="19" spans="1:4" x14ac:dyDescent="0.2">
      <c r="A19">
        <v>5.0999999999999996</v>
      </c>
      <c r="B19">
        <v>3.5</v>
      </c>
      <c r="C19">
        <v>1.4</v>
      </c>
      <c r="D19">
        <v>0.3</v>
      </c>
    </row>
    <row r="20" spans="1:4" x14ac:dyDescent="0.2">
      <c r="A20">
        <v>5.7</v>
      </c>
      <c r="B20">
        <v>3.8</v>
      </c>
      <c r="C20">
        <v>1.7</v>
      </c>
      <c r="D20">
        <v>0.3</v>
      </c>
    </row>
    <row r="21" spans="1:4" x14ac:dyDescent="0.2">
      <c r="A21">
        <v>5.0999999999999996</v>
      </c>
      <c r="B21">
        <v>3.8</v>
      </c>
      <c r="C21">
        <v>1.5</v>
      </c>
      <c r="D21">
        <v>0.3</v>
      </c>
    </row>
    <row r="22" spans="1:4" x14ac:dyDescent="0.2">
      <c r="A22">
        <v>5.4</v>
      </c>
      <c r="B22">
        <v>3.4</v>
      </c>
      <c r="C22">
        <v>1.7</v>
      </c>
      <c r="D22">
        <v>0.2</v>
      </c>
    </row>
    <row r="23" spans="1:4" x14ac:dyDescent="0.2">
      <c r="A23">
        <v>5.0999999999999996</v>
      </c>
      <c r="B23">
        <v>3.7</v>
      </c>
      <c r="C23">
        <v>1.5</v>
      </c>
      <c r="D23">
        <v>0.4</v>
      </c>
    </row>
    <row r="24" spans="1:4" x14ac:dyDescent="0.2">
      <c r="A24">
        <v>4.5999999999999996</v>
      </c>
      <c r="B24">
        <v>3.6</v>
      </c>
      <c r="C24">
        <v>1</v>
      </c>
      <c r="D24">
        <v>0.2</v>
      </c>
    </row>
    <row r="25" spans="1:4" x14ac:dyDescent="0.2">
      <c r="A25">
        <v>5.0999999999999996</v>
      </c>
      <c r="B25">
        <v>3.3</v>
      </c>
      <c r="C25">
        <v>1.7</v>
      </c>
      <c r="D25">
        <v>0.5</v>
      </c>
    </row>
    <row r="26" spans="1:4" x14ac:dyDescent="0.2">
      <c r="A26">
        <v>4.8</v>
      </c>
      <c r="B26">
        <v>3.4</v>
      </c>
      <c r="C26">
        <v>1.9</v>
      </c>
      <c r="D26">
        <v>0.2</v>
      </c>
    </row>
    <row r="27" spans="1:4" x14ac:dyDescent="0.2">
      <c r="A27">
        <v>5</v>
      </c>
      <c r="B27">
        <v>3</v>
      </c>
      <c r="C27">
        <v>1.6</v>
      </c>
      <c r="D27">
        <v>0.2</v>
      </c>
    </row>
    <row r="28" spans="1:4" x14ac:dyDescent="0.2">
      <c r="A28">
        <v>5</v>
      </c>
      <c r="B28">
        <v>3.4</v>
      </c>
      <c r="C28">
        <v>1.6</v>
      </c>
      <c r="D28">
        <v>0.4</v>
      </c>
    </row>
    <row r="29" spans="1:4" x14ac:dyDescent="0.2">
      <c r="A29">
        <v>5.2</v>
      </c>
      <c r="B29">
        <v>3.5</v>
      </c>
      <c r="C29">
        <v>1.5</v>
      </c>
      <c r="D29">
        <v>0.2</v>
      </c>
    </row>
    <row r="30" spans="1:4" x14ac:dyDescent="0.2">
      <c r="A30">
        <v>5.2</v>
      </c>
      <c r="B30">
        <v>3.4</v>
      </c>
      <c r="C30">
        <v>1.4</v>
      </c>
      <c r="D30">
        <v>0.2</v>
      </c>
    </row>
    <row r="31" spans="1:4" x14ac:dyDescent="0.2">
      <c r="A31">
        <v>4.7</v>
      </c>
      <c r="B31">
        <v>3.2</v>
      </c>
      <c r="C31">
        <v>1.6</v>
      </c>
      <c r="D31">
        <v>0.2</v>
      </c>
    </row>
    <row r="32" spans="1:4" x14ac:dyDescent="0.2">
      <c r="A32">
        <v>4.8</v>
      </c>
      <c r="B32">
        <v>3.1</v>
      </c>
      <c r="C32">
        <v>1.6</v>
      </c>
      <c r="D32">
        <v>0.2</v>
      </c>
    </row>
    <row r="33" spans="1:4" x14ac:dyDescent="0.2">
      <c r="A33">
        <v>5.4</v>
      </c>
      <c r="B33">
        <v>3.4</v>
      </c>
      <c r="C33">
        <v>1.5</v>
      </c>
      <c r="D33">
        <v>0.4</v>
      </c>
    </row>
    <row r="34" spans="1:4" x14ac:dyDescent="0.2">
      <c r="A34">
        <v>5.2</v>
      </c>
      <c r="B34">
        <v>4.0999999999999996</v>
      </c>
      <c r="C34">
        <v>1.5</v>
      </c>
      <c r="D34">
        <v>0.1</v>
      </c>
    </row>
    <row r="35" spans="1:4" x14ac:dyDescent="0.2">
      <c r="A35">
        <v>5.5</v>
      </c>
      <c r="B35">
        <v>4.2</v>
      </c>
      <c r="C35">
        <v>1.4</v>
      </c>
      <c r="D35">
        <v>0.2</v>
      </c>
    </row>
    <row r="36" spans="1:4" x14ac:dyDescent="0.2">
      <c r="A36">
        <v>4.9000000000000004</v>
      </c>
      <c r="B36">
        <v>3.1</v>
      </c>
      <c r="C36">
        <v>1.5</v>
      </c>
      <c r="D36">
        <v>0.1</v>
      </c>
    </row>
    <row r="37" spans="1:4" x14ac:dyDescent="0.2">
      <c r="A37">
        <v>5</v>
      </c>
      <c r="B37">
        <v>3.2</v>
      </c>
      <c r="C37">
        <v>1.2</v>
      </c>
      <c r="D37">
        <v>0.2</v>
      </c>
    </row>
    <row r="38" spans="1:4" x14ac:dyDescent="0.2">
      <c r="A38">
        <v>5.5</v>
      </c>
      <c r="B38">
        <v>3.5</v>
      </c>
      <c r="C38">
        <v>1.3</v>
      </c>
      <c r="D38">
        <v>0.2</v>
      </c>
    </row>
    <row r="39" spans="1:4" x14ac:dyDescent="0.2">
      <c r="A39">
        <v>4.9000000000000004</v>
      </c>
      <c r="B39">
        <v>3.1</v>
      </c>
      <c r="C39">
        <v>1.5</v>
      </c>
      <c r="D39">
        <v>0.1</v>
      </c>
    </row>
    <row r="40" spans="1:4" x14ac:dyDescent="0.2">
      <c r="A40">
        <v>4.4000000000000004</v>
      </c>
      <c r="B40">
        <v>3</v>
      </c>
      <c r="C40">
        <v>1.3</v>
      </c>
      <c r="D40">
        <v>0.2</v>
      </c>
    </row>
    <row r="41" spans="1:4" x14ac:dyDescent="0.2">
      <c r="A41">
        <v>5.0999999999999996</v>
      </c>
      <c r="B41">
        <v>3.4</v>
      </c>
      <c r="C41">
        <v>1.5</v>
      </c>
      <c r="D41">
        <v>0.2</v>
      </c>
    </row>
    <row r="42" spans="1:4" x14ac:dyDescent="0.2">
      <c r="A42">
        <v>5</v>
      </c>
      <c r="B42">
        <v>3.5</v>
      </c>
      <c r="C42">
        <v>1.3</v>
      </c>
      <c r="D42">
        <v>0.3</v>
      </c>
    </row>
    <row r="43" spans="1:4" x14ac:dyDescent="0.2">
      <c r="A43">
        <v>4.5</v>
      </c>
      <c r="B43">
        <v>2.2999999999999998</v>
      </c>
      <c r="C43">
        <v>1.3</v>
      </c>
      <c r="D43">
        <v>0.3</v>
      </c>
    </row>
    <row r="44" spans="1:4" x14ac:dyDescent="0.2">
      <c r="A44">
        <v>4.4000000000000004</v>
      </c>
      <c r="B44">
        <v>3.2</v>
      </c>
      <c r="C44">
        <v>1.3</v>
      </c>
      <c r="D44">
        <v>0.2</v>
      </c>
    </row>
    <row r="45" spans="1:4" x14ac:dyDescent="0.2">
      <c r="A45">
        <v>5</v>
      </c>
      <c r="B45">
        <v>3.5</v>
      </c>
      <c r="C45">
        <v>1.6</v>
      </c>
      <c r="D45">
        <v>0.6</v>
      </c>
    </row>
    <row r="46" spans="1:4" x14ac:dyDescent="0.2">
      <c r="A46">
        <v>5.0999999999999996</v>
      </c>
      <c r="B46">
        <v>3.8</v>
      </c>
      <c r="C46">
        <v>1.9</v>
      </c>
      <c r="D46">
        <v>0.4</v>
      </c>
    </row>
    <row r="47" spans="1:4" x14ac:dyDescent="0.2">
      <c r="A47">
        <v>4.8</v>
      </c>
      <c r="B47">
        <v>3</v>
      </c>
      <c r="C47">
        <v>1.4</v>
      </c>
      <c r="D47">
        <v>0.3</v>
      </c>
    </row>
    <row r="48" spans="1:4" x14ac:dyDescent="0.2">
      <c r="A48">
        <v>5.0999999999999996</v>
      </c>
      <c r="B48">
        <v>3.8</v>
      </c>
      <c r="C48">
        <v>1.6</v>
      </c>
      <c r="D48">
        <v>0.2</v>
      </c>
    </row>
    <row r="49" spans="1:4" x14ac:dyDescent="0.2">
      <c r="A49">
        <v>4.5999999999999996</v>
      </c>
      <c r="B49">
        <v>3.2</v>
      </c>
      <c r="C49">
        <v>1.4</v>
      </c>
      <c r="D49">
        <v>0.2</v>
      </c>
    </row>
    <row r="50" spans="1:4" x14ac:dyDescent="0.2">
      <c r="A50">
        <v>5.3</v>
      </c>
      <c r="B50">
        <v>3.7</v>
      </c>
      <c r="C50">
        <v>1.5</v>
      </c>
      <c r="D50">
        <v>0.2</v>
      </c>
    </row>
    <row r="51" spans="1:4" x14ac:dyDescent="0.2">
      <c r="A51">
        <v>5</v>
      </c>
      <c r="B51">
        <v>3.3</v>
      </c>
      <c r="C51">
        <v>1.4</v>
      </c>
      <c r="D51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F5B3-FCC3-2647-8BCB-7DF260E5FA34}">
  <dimension ref="A1:S19"/>
  <sheetViews>
    <sheetView workbookViewId="0">
      <selection activeCell="Q30" sqref="Q30"/>
    </sheetView>
  </sheetViews>
  <sheetFormatPr baseColWidth="10" defaultRowHeight="16" x14ac:dyDescent="0.2"/>
  <cols>
    <col min="1" max="2" width="5.33203125" customWidth="1"/>
    <col min="3" max="3" width="5.33203125" bestFit="1" customWidth="1"/>
    <col min="4" max="4" width="5.33203125" customWidth="1"/>
    <col min="5" max="5" width="3.83203125" customWidth="1"/>
    <col min="6" max="6" width="5.6640625" bestFit="1" customWidth="1"/>
    <col min="7" max="11" width="3.83203125" customWidth="1"/>
    <col min="12" max="12" width="3.1640625" customWidth="1"/>
    <col min="16" max="16" width="8.83203125" customWidth="1"/>
  </cols>
  <sheetData>
    <row r="1" spans="1:19" x14ac:dyDescent="0.2">
      <c r="A1" t="s">
        <v>80</v>
      </c>
      <c r="B1" t="s">
        <v>81</v>
      </c>
      <c r="D1" t="s">
        <v>68</v>
      </c>
      <c r="E1" t="s">
        <v>5</v>
      </c>
      <c r="F1" t="s">
        <v>70</v>
      </c>
      <c r="G1" t="s">
        <v>6</v>
      </c>
      <c r="H1" t="s">
        <v>70</v>
      </c>
      <c r="I1" t="s">
        <v>7</v>
      </c>
      <c r="J1" t="s">
        <v>70</v>
      </c>
      <c r="K1" t="s">
        <v>8</v>
      </c>
      <c r="L1" t="s">
        <v>70</v>
      </c>
      <c r="N1" s="6" t="s">
        <v>73</v>
      </c>
      <c r="O1" s="1" t="s">
        <v>62</v>
      </c>
      <c r="P1" s="1"/>
      <c r="Q1" s="1"/>
    </row>
    <row r="2" spans="1:19" x14ac:dyDescent="0.2">
      <c r="A2">
        <v>0.5</v>
      </c>
      <c r="B2">
        <v>1</v>
      </c>
      <c r="C2" t="s">
        <v>9</v>
      </c>
      <c r="D2">
        <v>0.75</v>
      </c>
      <c r="E2">
        <v>0</v>
      </c>
      <c r="F2" s="3">
        <f>($D2-$P$9)^2</f>
        <v>29.899954730647348</v>
      </c>
      <c r="G2">
        <v>0</v>
      </c>
      <c r="H2">
        <f>($D2-$Q$9)^2</f>
        <v>4.7961</v>
      </c>
      <c r="I2">
        <v>0</v>
      </c>
      <c r="J2">
        <f>($D2-$R$9)^2</f>
        <v>17.892900000000004</v>
      </c>
      <c r="K2">
        <v>0</v>
      </c>
      <c r="L2">
        <f>($D2-$S$9)^2</f>
        <v>0.96039999999999992</v>
      </c>
      <c r="O2" s="1" t="s">
        <v>61</v>
      </c>
      <c r="P2" s="1"/>
      <c r="Q2" s="1" t="s">
        <v>8</v>
      </c>
      <c r="R2" t="s">
        <v>71</v>
      </c>
    </row>
    <row r="3" spans="1:19" x14ac:dyDescent="0.2">
      <c r="A3">
        <f>A2+0.5</f>
        <v>1</v>
      </c>
      <c r="B3">
        <f>B2+0.5</f>
        <v>1.5</v>
      </c>
      <c r="C3" t="s">
        <v>10</v>
      </c>
      <c r="D3">
        <f>D2+0.5</f>
        <v>1.25</v>
      </c>
      <c r="E3">
        <v>0</v>
      </c>
      <c r="F3" s="3">
        <f t="shared" ref="F3:F15" si="0">($D3-$P$9)^2</f>
        <v>24.681869624264369</v>
      </c>
      <c r="G3">
        <v>0</v>
      </c>
      <c r="H3">
        <f t="shared" ref="H3:H15" si="1">($D3-$Q$9)^2</f>
        <v>2.8560999999999996</v>
      </c>
      <c r="I3">
        <v>0</v>
      </c>
      <c r="J3">
        <f t="shared" ref="J3:J15" si="2">($D3-$R$9)^2</f>
        <v>13.912900000000004</v>
      </c>
      <c r="K3">
        <v>36</v>
      </c>
      <c r="L3">
        <f t="shared" ref="L3:L15" si="3">($D3-$S$9)^2</f>
        <v>0.23039999999999999</v>
      </c>
      <c r="O3" s="1" t="s">
        <v>65</v>
      </c>
      <c r="P3" s="1"/>
      <c r="Q3" s="1" t="s">
        <v>6</v>
      </c>
      <c r="R3" t="s">
        <v>71</v>
      </c>
    </row>
    <row r="4" spans="1:19" x14ac:dyDescent="0.2">
      <c r="A4">
        <f t="shared" ref="A4:A15" si="4">A3+0.5</f>
        <v>1.5</v>
      </c>
      <c r="B4">
        <f t="shared" ref="B4:B15" si="5">B3+0.5</f>
        <v>2</v>
      </c>
      <c r="C4" t="s">
        <v>11</v>
      </c>
      <c r="D4">
        <f t="shared" ref="D4:D15" si="6">D3+0.5</f>
        <v>1.75</v>
      </c>
      <c r="E4">
        <v>0</v>
      </c>
      <c r="F4" s="3">
        <f t="shared" si="0"/>
        <v>19.96378451788139</v>
      </c>
      <c r="G4">
        <v>0</v>
      </c>
      <c r="H4">
        <f t="shared" si="1"/>
        <v>1.4160999999999999</v>
      </c>
      <c r="I4">
        <v>0</v>
      </c>
      <c r="J4">
        <f t="shared" si="2"/>
        <v>10.432900000000004</v>
      </c>
      <c r="K4">
        <v>35</v>
      </c>
      <c r="L4">
        <f t="shared" si="3"/>
        <v>4.0000000000000072E-4</v>
      </c>
      <c r="O4" s="1"/>
      <c r="P4" s="1"/>
      <c r="Q4" s="1"/>
    </row>
    <row r="5" spans="1:19" x14ac:dyDescent="0.2">
      <c r="A5">
        <f t="shared" si="4"/>
        <v>2</v>
      </c>
      <c r="B5">
        <f t="shared" si="5"/>
        <v>2.5</v>
      </c>
      <c r="C5" t="s">
        <v>12</v>
      </c>
      <c r="D5">
        <f t="shared" si="6"/>
        <v>2.25</v>
      </c>
      <c r="E5">
        <v>0</v>
      </c>
      <c r="F5" s="3">
        <f t="shared" si="0"/>
        <v>15.745699411498412</v>
      </c>
      <c r="G5">
        <v>10</v>
      </c>
      <c r="H5">
        <f t="shared" si="1"/>
        <v>0.47609999999999991</v>
      </c>
      <c r="I5">
        <v>0</v>
      </c>
      <c r="J5">
        <f t="shared" si="2"/>
        <v>7.4529000000000023</v>
      </c>
      <c r="K5">
        <v>26</v>
      </c>
      <c r="L5">
        <f t="shared" si="3"/>
        <v>0.27040000000000003</v>
      </c>
      <c r="O5" s="1" t="s">
        <v>63</v>
      </c>
      <c r="P5" s="1"/>
      <c r="Q5" s="1" t="s">
        <v>5</v>
      </c>
      <c r="R5" t="s">
        <v>71</v>
      </c>
    </row>
    <row r="6" spans="1:19" x14ac:dyDescent="0.2">
      <c r="A6">
        <f t="shared" si="4"/>
        <v>2.5</v>
      </c>
      <c r="B6">
        <f t="shared" si="5"/>
        <v>3</v>
      </c>
      <c r="C6" t="s">
        <v>13</v>
      </c>
      <c r="D6">
        <f t="shared" si="6"/>
        <v>2.75</v>
      </c>
      <c r="E6">
        <v>0</v>
      </c>
      <c r="F6" s="3">
        <f t="shared" si="0"/>
        <v>12.027614305115433</v>
      </c>
      <c r="G6">
        <v>45</v>
      </c>
      <c r="H6">
        <f t="shared" si="1"/>
        <v>3.6099999999999979E-2</v>
      </c>
      <c r="I6">
        <v>0</v>
      </c>
      <c r="J6">
        <f t="shared" si="2"/>
        <v>4.9729000000000019</v>
      </c>
      <c r="K6">
        <v>3</v>
      </c>
      <c r="L6">
        <f t="shared" si="3"/>
        <v>1.0404</v>
      </c>
      <c r="O6" s="1" t="s">
        <v>64</v>
      </c>
      <c r="P6" s="1"/>
      <c r="Q6" s="1" t="s">
        <v>7</v>
      </c>
      <c r="R6" t="s">
        <v>71</v>
      </c>
    </row>
    <row r="7" spans="1:19" x14ac:dyDescent="0.2">
      <c r="A7">
        <f t="shared" si="4"/>
        <v>3</v>
      </c>
      <c r="B7">
        <f t="shared" si="5"/>
        <v>3.5</v>
      </c>
      <c r="C7" t="s">
        <v>14</v>
      </c>
      <c r="D7">
        <f t="shared" si="6"/>
        <v>3.25</v>
      </c>
      <c r="E7">
        <v>0</v>
      </c>
      <c r="F7" s="3">
        <f t="shared" si="0"/>
        <v>8.8095291987324558</v>
      </c>
      <c r="G7">
        <v>42</v>
      </c>
      <c r="H7">
        <f t="shared" si="1"/>
        <v>9.6100000000000033E-2</v>
      </c>
      <c r="I7">
        <v>3</v>
      </c>
      <c r="J7">
        <f t="shared" si="2"/>
        <v>2.9929000000000014</v>
      </c>
      <c r="K7">
        <v>0</v>
      </c>
      <c r="L7">
        <f t="shared" si="3"/>
        <v>2.3104</v>
      </c>
    </row>
    <row r="8" spans="1:19" x14ac:dyDescent="0.2">
      <c r="A8">
        <f t="shared" si="4"/>
        <v>3.5</v>
      </c>
      <c r="B8">
        <f t="shared" si="5"/>
        <v>4</v>
      </c>
      <c r="C8" t="s">
        <v>15</v>
      </c>
      <c r="D8">
        <f t="shared" si="6"/>
        <v>3.75</v>
      </c>
      <c r="E8">
        <v>0</v>
      </c>
      <c r="F8" s="3">
        <f t="shared" si="0"/>
        <v>6.0914440923494775</v>
      </c>
      <c r="G8">
        <v>3</v>
      </c>
      <c r="H8">
        <f t="shared" si="1"/>
        <v>0.65610000000000013</v>
      </c>
      <c r="I8">
        <v>8</v>
      </c>
      <c r="J8">
        <f t="shared" si="2"/>
        <v>1.512900000000001</v>
      </c>
      <c r="K8">
        <v>0</v>
      </c>
      <c r="L8">
        <f t="shared" si="3"/>
        <v>4.0804</v>
      </c>
      <c r="N8" s="7" t="s">
        <v>74</v>
      </c>
      <c r="O8" s="1" t="s">
        <v>66</v>
      </c>
      <c r="P8" s="1" t="s">
        <v>5</v>
      </c>
      <c r="Q8" s="1" t="s">
        <v>6</v>
      </c>
      <c r="R8" s="1" t="s">
        <v>7</v>
      </c>
      <c r="S8" s="1" t="s">
        <v>8</v>
      </c>
    </row>
    <row r="9" spans="1:19" x14ac:dyDescent="0.2">
      <c r="A9">
        <f t="shared" si="4"/>
        <v>4</v>
      </c>
      <c r="B9">
        <f t="shared" si="5"/>
        <v>4.5</v>
      </c>
      <c r="C9" t="s">
        <v>16</v>
      </c>
      <c r="D9">
        <f t="shared" si="6"/>
        <v>4.25</v>
      </c>
      <c r="E9">
        <v>0</v>
      </c>
      <c r="F9" s="3">
        <f t="shared" si="0"/>
        <v>3.8733589859664987</v>
      </c>
      <c r="G9">
        <v>0</v>
      </c>
      <c r="H9">
        <f t="shared" si="1"/>
        <v>1.7161000000000002</v>
      </c>
      <c r="I9">
        <v>18</v>
      </c>
      <c r="J9">
        <f t="shared" si="2"/>
        <v>0.5329000000000006</v>
      </c>
      <c r="K9">
        <v>0</v>
      </c>
      <c r="L9">
        <f t="shared" si="3"/>
        <v>6.3504000000000005</v>
      </c>
      <c r="O9" s="1" t="s">
        <v>55</v>
      </c>
      <c r="P9" s="3">
        <f>SUMPRODUCT($D2:$D15,E2:E15)/SUM(E2:E15)</f>
        <v>6.2180851063829783</v>
      </c>
      <c r="Q9">
        <f>SUMPRODUCT($D2:$D15,G2:G15)/SUM(G2:G15)</f>
        <v>2.94</v>
      </c>
      <c r="R9">
        <f t="shared" ref="R9" si="7">SUMPRODUCT($D2:$D15,I2:I15)/SUM(I2:I15)</f>
        <v>4.9800000000000004</v>
      </c>
      <c r="S9">
        <f>SUMPRODUCT($D2:$D15,K2:K15)/SUM(K2:K15)</f>
        <v>1.73</v>
      </c>
    </row>
    <row r="10" spans="1:19" x14ac:dyDescent="0.2">
      <c r="A10">
        <f t="shared" si="4"/>
        <v>4.5</v>
      </c>
      <c r="B10">
        <f t="shared" si="5"/>
        <v>5</v>
      </c>
      <c r="C10" t="s">
        <v>17</v>
      </c>
      <c r="D10">
        <f t="shared" si="6"/>
        <v>4.75</v>
      </c>
      <c r="E10">
        <v>2</v>
      </c>
      <c r="F10" s="3">
        <f t="shared" si="0"/>
        <v>2.1552738795835205</v>
      </c>
      <c r="G10">
        <v>0</v>
      </c>
      <c r="H10">
        <f t="shared" si="1"/>
        <v>3.2761</v>
      </c>
      <c r="I10">
        <v>25</v>
      </c>
      <c r="J10">
        <f t="shared" si="2"/>
        <v>5.2900000000000197E-2</v>
      </c>
      <c r="K10">
        <v>0</v>
      </c>
      <c r="L10">
        <f t="shared" si="3"/>
        <v>9.1204000000000001</v>
      </c>
      <c r="O10" s="1" t="s">
        <v>56</v>
      </c>
      <c r="P10">
        <v>6.25</v>
      </c>
      <c r="Q10">
        <v>2.75</v>
      </c>
      <c r="R10">
        <v>4.75</v>
      </c>
      <c r="S10">
        <v>1.75</v>
      </c>
    </row>
    <row r="11" spans="1:19" x14ac:dyDescent="0.2">
      <c r="A11">
        <f t="shared" si="4"/>
        <v>5</v>
      </c>
      <c r="B11">
        <f t="shared" si="5"/>
        <v>5.5</v>
      </c>
      <c r="C11" t="s">
        <v>18</v>
      </c>
      <c r="D11">
        <f t="shared" si="6"/>
        <v>5.25</v>
      </c>
      <c r="E11">
        <v>5</v>
      </c>
      <c r="F11" s="3">
        <f t="shared" si="0"/>
        <v>0.93718877320054239</v>
      </c>
      <c r="G11">
        <v>0</v>
      </c>
      <c r="H11">
        <f t="shared" si="1"/>
        <v>5.3361000000000001</v>
      </c>
      <c r="I11">
        <v>18</v>
      </c>
      <c r="J11">
        <f t="shared" si="2"/>
        <v>7.2899999999999771E-2</v>
      </c>
      <c r="K11">
        <v>0</v>
      </c>
      <c r="L11">
        <f t="shared" si="3"/>
        <v>12.3904</v>
      </c>
      <c r="O11" s="1" t="s">
        <v>57</v>
      </c>
      <c r="P11">
        <v>6.25</v>
      </c>
      <c r="Q11">
        <v>2.75</v>
      </c>
      <c r="R11">
        <v>4.75</v>
      </c>
      <c r="S11">
        <v>1.25</v>
      </c>
    </row>
    <row r="12" spans="1:19" x14ac:dyDescent="0.2">
      <c r="A12">
        <f t="shared" si="4"/>
        <v>5.5</v>
      </c>
      <c r="B12">
        <f t="shared" si="5"/>
        <v>6</v>
      </c>
      <c r="C12" t="s">
        <v>19</v>
      </c>
      <c r="D12">
        <f t="shared" si="6"/>
        <v>5.75</v>
      </c>
      <c r="E12">
        <v>26</v>
      </c>
      <c r="F12" s="3">
        <f t="shared" si="0"/>
        <v>0.2191036668175641</v>
      </c>
      <c r="G12">
        <v>0</v>
      </c>
      <c r="H12">
        <f t="shared" si="1"/>
        <v>7.8961000000000006</v>
      </c>
      <c r="I12">
        <v>17</v>
      </c>
      <c r="J12">
        <f t="shared" si="2"/>
        <v>0.59289999999999932</v>
      </c>
      <c r="K12">
        <v>0</v>
      </c>
      <c r="L12">
        <f t="shared" si="3"/>
        <v>16.160399999999996</v>
      </c>
      <c r="O12" s="1" t="s">
        <v>67</v>
      </c>
      <c r="P12">
        <f>SUMPRODUCT(E2:E15, F2:F15)/(SUM(E2:E15)-1)</f>
        <v>0.30542210020590255</v>
      </c>
      <c r="Q12">
        <f>SUMPRODUCT(G2:G15, H2:H15)/(SUM(G2:G15)-1)</f>
        <v>0.12515151515151518</v>
      </c>
      <c r="R12" s="4">
        <f>SUMPRODUCT(I2:I15, J2:J15)/(SUM(J2:J15)-1)</f>
        <v>0.96955306214891401</v>
      </c>
      <c r="S12">
        <f>SUMPRODUCT(K2:K15, L2:L15)/(SUM(K2:K15)-1)</f>
        <v>0.18646464646464647</v>
      </c>
    </row>
    <row r="13" spans="1:19" x14ac:dyDescent="0.2">
      <c r="A13">
        <f t="shared" si="4"/>
        <v>6</v>
      </c>
      <c r="B13">
        <f t="shared" si="5"/>
        <v>6.5</v>
      </c>
      <c r="C13" t="s">
        <v>20</v>
      </c>
      <c r="D13">
        <f t="shared" si="6"/>
        <v>6.25</v>
      </c>
      <c r="E13">
        <v>32</v>
      </c>
      <c r="F13" s="3">
        <f t="shared" si="0"/>
        <v>1.0185604345858133E-3</v>
      </c>
      <c r="G13">
        <v>0</v>
      </c>
      <c r="H13">
        <f t="shared" si="1"/>
        <v>10.956100000000001</v>
      </c>
      <c r="I13">
        <v>7</v>
      </c>
      <c r="J13">
        <f t="shared" si="2"/>
        <v>1.6128999999999989</v>
      </c>
      <c r="K13">
        <v>0</v>
      </c>
      <c r="L13">
        <f t="shared" si="3"/>
        <v>20.430399999999995</v>
      </c>
    </row>
    <row r="14" spans="1:19" x14ac:dyDescent="0.2">
      <c r="A14">
        <f t="shared" si="4"/>
        <v>6.5</v>
      </c>
      <c r="B14">
        <f t="shared" si="5"/>
        <v>7</v>
      </c>
      <c r="C14" t="s">
        <v>21</v>
      </c>
      <c r="D14">
        <f t="shared" si="6"/>
        <v>6.75</v>
      </c>
      <c r="E14">
        <v>22</v>
      </c>
      <c r="F14" s="3">
        <f t="shared" si="0"/>
        <v>0.28293345405160752</v>
      </c>
      <c r="G14">
        <v>0</v>
      </c>
      <c r="H14">
        <f t="shared" si="1"/>
        <v>14.5161</v>
      </c>
      <c r="I14">
        <v>4</v>
      </c>
      <c r="J14">
        <f t="shared" si="2"/>
        <v>3.1328999999999985</v>
      </c>
      <c r="K14">
        <v>0</v>
      </c>
      <c r="L14">
        <f t="shared" si="3"/>
        <v>25.200399999999995</v>
      </c>
      <c r="N14" s="7" t="s">
        <v>75</v>
      </c>
      <c r="O14" s="5" t="s">
        <v>72</v>
      </c>
    </row>
    <row r="15" spans="1:19" x14ac:dyDescent="0.2">
      <c r="A15">
        <f t="shared" si="4"/>
        <v>7</v>
      </c>
      <c r="B15">
        <f t="shared" si="5"/>
        <v>7.5</v>
      </c>
      <c r="C15" t="s">
        <v>22</v>
      </c>
      <c r="D15">
        <f t="shared" si="6"/>
        <v>7.25</v>
      </c>
      <c r="E15">
        <v>7</v>
      </c>
      <c r="F15" s="3">
        <f t="shared" si="0"/>
        <v>1.0648483476686292</v>
      </c>
      <c r="G15">
        <v>0</v>
      </c>
      <c r="H15">
        <f t="shared" si="1"/>
        <v>18.576100000000004</v>
      </c>
      <c r="I15">
        <v>0</v>
      </c>
      <c r="J15">
        <f t="shared" si="2"/>
        <v>5.152899999999998</v>
      </c>
      <c r="K15">
        <v>0</v>
      </c>
      <c r="L15">
        <f t="shared" si="3"/>
        <v>30.470399999999994</v>
      </c>
    </row>
    <row r="16" spans="1:19" x14ac:dyDescent="0.2">
      <c r="D16" t="s">
        <v>69</v>
      </c>
      <c r="E16">
        <f>SUM(E2:E15)</f>
        <v>94</v>
      </c>
      <c r="G16">
        <f t="shared" ref="G16:K16" si="8">SUM(G2:G15)</f>
        <v>100</v>
      </c>
      <c r="I16">
        <f t="shared" si="8"/>
        <v>100</v>
      </c>
      <c r="K16">
        <f t="shared" si="8"/>
        <v>100</v>
      </c>
      <c r="N16" s="7" t="s">
        <v>76</v>
      </c>
      <c r="O16" t="s">
        <v>77</v>
      </c>
    </row>
    <row r="18" spans="15:19" x14ac:dyDescent="0.2">
      <c r="O18" t="s">
        <v>78</v>
      </c>
      <c r="P18">
        <f>SUMPRODUCT($A2:$A15,E2:E15)/E16</f>
        <v>5.9680851063829783</v>
      </c>
      <c r="Q18">
        <f>SUMPRODUCT($A2:$A15,G2:G15)/G16</f>
        <v>2.69</v>
      </c>
      <c r="R18">
        <f>SUMPRODUCT($A2:$A15,I2:I15)/I16</f>
        <v>4.7300000000000004</v>
      </c>
      <c r="S18">
        <f>SUMPRODUCT($A2:$A15,K2:K15)/K16</f>
        <v>1.48</v>
      </c>
    </row>
    <row r="19" spans="15:19" x14ac:dyDescent="0.2">
      <c r="O19" t="s">
        <v>79</v>
      </c>
      <c r="P19">
        <f>SUMPRODUCT($B2:$B15,E2:E15)/E16</f>
        <v>6.4680851063829783</v>
      </c>
      <c r="Q19">
        <f>SUMPRODUCT($B2:$B15,G2:G15)/G16</f>
        <v>3.19</v>
      </c>
      <c r="R19">
        <f>SUMPRODUCT($B2:$B15,I2:I15)/I16</f>
        <v>5.23</v>
      </c>
      <c r="S19">
        <f>SUMPRODUCT($B2:$B15,K2:K15)/K16</f>
        <v>1.98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BA99-2C69-154E-A2B0-897412217612}">
  <dimension ref="A1:AA163"/>
  <sheetViews>
    <sheetView tabSelected="1" zoomScale="50" workbookViewId="0">
      <selection activeCell="Z12" sqref="Z12"/>
    </sheetView>
  </sheetViews>
  <sheetFormatPr baseColWidth="10" defaultRowHeight="16" x14ac:dyDescent="0.2"/>
  <cols>
    <col min="2" max="3" width="8.1640625" bestFit="1" customWidth="1"/>
    <col min="4" max="27" width="12.1640625" bestFit="1" customWidth="1"/>
  </cols>
  <sheetData>
    <row r="1" spans="1:27" s="1" customFormat="1" x14ac:dyDescent="0.2">
      <c r="B1" s="1" t="s">
        <v>83</v>
      </c>
    </row>
    <row r="2" spans="1:27" s="1" customFormat="1" x14ac:dyDescent="0.2"/>
    <row r="3" spans="1:27" s="1" customFormat="1" x14ac:dyDescent="0.2">
      <c r="A3" s="1" t="s">
        <v>55</v>
      </c>
      <c r="B3" s="1">
        <f>ROUND(AVERAGE(B22:B163),2)</f>
        <v>54.26</v>
      </c>
      <c r="C3" s="1">
        <f t="shared" ref="C3:AA3" si="0">ROUND(AVERAGE(C22:C163),2)</f>
        <v>47.83</v>
      </c>
      <c r="D3" s="1">
        <f t="shared" si="0"/>
        <v>54.27</v>
      </c>
      <c r="E3" s="1">
        <f t="shared" si="0"/>
        <v>47.83</v>
      </c>
      <c r="F3" s="1">
        <f t="shared" si="0"/>
        <v>54.26</v>
      </c>
      <c r="G3" s="1">
        <f t="shared" si="0"/>
        <v>47.83</v>
      </c>
      <c r="H3" s="1">
        <f t="shared" si="0"/>
        <v>54.27</v>
      </c>
      <c r="I3" s="1">
        <f t="shared" si="0"/>
        <v>47.84</v>
      </c>
      <c r="J3" s="1">
        <f t="shared" si="0"/>
        <v>54.26</v>
      </c>
      <c r="K3" s="1">
        <f t="shared" si="0"/>
        <v>47.84</v>
      </c>
      <c r="L3" s="1">
        <f t="shared" si="0"/>
        <v>54.27</v>
      </c>
      <c r="M3" s="1">
        <f t="shared" si="0"/>
        <v>47.84</v>
      </c>
      <c r="N3" s="1">
        <f t="shared" si="0"/>
        <v>54.27</v>
      </c>
      <c r="O3" s="1">
        <f t="shared" si="0"/>
        <v>47.84</v>
      </c>
      <c r="P3" s="1">
        <f t="shared" si="0"/>
        <v>54.26</v>
      </c>
      <c r="Q3" s="1">
        <f t="shared" si="0"/>
        <v>47.84</v>
      </c>
      <c r="R3" s="1">
        <f t="shared" si="0"/>
        <v>54.27</v>
      </c>
      <c r="S3" s="1">
        <f t="shared" si="0"/>
        <v>47.84</v>
      </c>
      <c r="T3" s="1">
        <f t="shared" si="0"/>
        <v>54.27</v>
      </c>
      <c r="U3" s="1">
        <f t="shared" si="0"/>
        <v>47.83</v>
      </c>
      <c r="V3" s="1">
        <f t="shared" si="0"/>
        <v>54.27</v>
      </c>
      <c r="W3" s="1">
        <f t="shared" si="0"/>
        <v>47.83</v>
      </c>
      <c r="X3" s="1">
        <f t="shared" si="0"/>
        <v>54.27</v>
      </c>
      <c r="Y3" s="1">
        <f t="shared" si="0"/>
        <v>47.84</v>
      </c>
      <c r="Z3" s="1">
        <f t="shared" si="0"/>
        <v>54.27</v>
      </c>
      <c r="AA3" s="1">
        <f t="shared" si="0"/>
        <v>47.83</v>
      </c>
    </row>
    <row r="4" spans="1:27" s="1" customFormat="1" x14ac:dyDescent="0.2">
      <c r="A4" s="1" t="s">
        <v>82</v>
      </c>
      <c r="B4" s="1">
        <f>ROUND(_xlfn.VAR.S(B22:B163), 2)</f>
        <v>281.07</v>
      </c>
      <c r="C4" s="1">
        <f t="shared" ref="C4:AA4" si="1">ROUND(_xlfn.VAR.S(C22:C163), 2)</f>
        <v>725.52</v>
      </c>
      <c r="D4" s="1">
        <f t="shared" si="1"/>
        <v>281.23</v>
      </c>
      <c r="E4" s="1">
        <f t="shared" si="1"/>
        <v>725.75</v>
      </c>
      <c r="F4" s="1">
        <f t="shared" si="1"/>
        <v>281.10000000000002</v>
      </c>
      <c r="G4" s="1">
        <f t="shared" si="1"/>
        <v>725.76</v>
      </c>
      <c r="H4" s="1">
        <f t="shared" si="1"/>
        <v>281.23</v>
      </c>
      <c r="I4" s="1">
        <f t="shared" si="1"/>
        <v>725.64</v>
      </c>
      <c r="J4" s="1">
        <f t="shared" si="1"/>
        <v>281.23</v>
      </c>
      <c r="K4" s="1">
        <f t="shared" si="1"/>
        <v>725.22</v>
      </c>
      <c r="L4" s="1">
        <f t="shared" si="1"/>
        <v>281.2</v>
      </c>
      <c r="M4" s="1">
        <f t="shared" si="1"/>
        <v>725.24</v>
      </c>
      <c r="N4" s="1">
        <f t="shared" si="1"/>
        <v>281.12</v>
      </c>
      <c r="O4" s="1">
        <f t="shared" si="1"/>
        <v>725.76</v>
      </c>
      <c r="P4" s="1">
        <f t="shared" si="1"/>
        <v>281.16000000000003</v>
      </c>
      <c r="Q4" s="1">
        <f t="shared" si="1"/>
        <v>725.24</v>
      </c>
      <c r="R4" s="1">
        <f t="shared" si="1"/>
        <v>280.89999999999998</v>
      </c>
      <c r="S4" s="1">
        <f t="shared" si="1"/>
        <v>725.23</v>
      </c>
      <c r="T4" s="1">
        <f t="shared" si="1"/>
        <v>281.20999999999998</v>
      </c>
      <c r="U4" s="1">
        <f t="shared" si="1"/>
        <v>725.53</v>
      </c>
      <c r="V4" s="1">
        <f t="shared" si="1"/>
        <v>281.19</v>
      </c>
      <c r="W4" s="1">
        <f t="shared" si="1"/>
        <v>725.69</v>
      </c>
      <c r="X4" s="1">
        <f t="shared" si="1"/>
        <v>281.12</v>
      </c>
      <c r="Y4" s="1">
        <f t="shared" si="1"/>
        <v>725.55</v>
      </c>
      <c r="Z4" s="1">
        <f t="shared" si="1"/>
        <v>281.23</v>
      </c>
      <c r="AA4" s="1">
        <f t="shared" si="1"/>
        <v>725.65</v>
      </c>
    </row>
    <row r="5" spans="1:27" s="1" customFormat="1" x14ac:dyDescent="0.2"/>
    <row r="6" spans="1:27" s="1" customFormat="1" x14ac:dyDescent="0.2"/>
    <row r="7" spans="1:27" s="1" customFormat="1" x14ac:dyDescent="0.2"/>
    <row r="8" spans="1:27" s="1" customFormat="1" x14ac:dyDescent="0.2"/>
    <row r="9" spans="1:27" s="1" customFormat="1" x14ac:dyDescent="0.2"/>
    <row r="10" spans="1:27" s="1" customFormat="1" x14ac:dyDescent="0.2"/>
    <row r="11" spans="1:27" s="1" customFormat="1" x14ac:dyDescent="0.2"/>
    <row r="12" spans="1:27" s="1" customFormat="1" x14ac:dyDescent="0.2"/>
    <row r="13" spans="1:27" s="1" customFormat="1" x14ac:dyDescent="0.2"/>
    <row r="14" spans="1:27" s="1" customFormat="1" x14ac:dyDescent="0.2"/>
    <row r="15" spans="1:27" s="1" customFormat="1" x14ac:dyDescent="0.2"/>
    <row r="16" spans="1:27" s="1" customFormat="1" x14ac:dyDescent="0.2"/>
    <row r="17" spans="2:27" s="1" customFormat="1" ht="17" customHeight="1" x14ac:dyDescent="0.2"/>
    <row r="18" spans="2:27" s="1" customFormat="1" ht="16" customHeight="1" x14ac:dyDescent="0.2"/>
    <row r="19" spans="2:27" s="1" customFormat="1" x14ac:dyDescent="0.2"/>
    <row r="20" spans="2:27" s="1" customFormat="1" x14ac:dyDescent="0.2"/>
    <row r="21" spans="2:27" x14ac:dyDescent="0.2"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  <c r="J21" t="s">
        <v>31</v>
      </c>
      <c r="K21" t="s">
        <v>32</v>
      </c>
      <c r="L21" t="s">
        <v>33</v>
      </c>
      <c r="M21" t="s">
        <v>34</v>
      </c>
      <c r="N21" t="s">
        <v>35</v>
      </c>
      <c r="O21" t="s">
        <v>36</v>
      </c>
      <c r="P21" t="s">
        <v>37</v>
      </c>
      <c r="Q21" t="s">
        <v>38</v>
      </c>
      <c r="R21" t="s">
        <v>39</v>
      </c>
      <c r="S21" t="s">
        <v>40</v>
      </c>
      <c r="T21" t="s">
        <v>41</v>
      </c>
      <c r="U21" t="s">
        <v>42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2:27" x14ac:dyDescent="0.2">
      <c r="B22">
        <v>55.384599999999999</v>
      </c>
      <c r="C22">
        <v>97.179500000000004</v>
      </c>
      <c r="D22">
        <v>32.33111023</v>
      </c>
      <c r="E22">
        <v>61.411101250000002</v>
      </c>
      <c r="F22">
        <v>53.36656687</v>
      </c>
      <c r="G22">
        <v>90.208030010000002</v>
      </c>
      <c r="H22">
        <v>50.481508169999998</v>
      </c>
      <c r="I22">
        <v>93.222701369999996</v>
      </c>
      <c r="J22">
        <v>38.337757179999997</v>
      </c>
      <c r="K22">
        <v>92.472719049999995</v>
      </c>
      <c r="L22">
        <v>58.213608260000001</v>
      </c>
      <c r="M22">
        <v>91.881891510000003</v>
      </c>
      <c r="N22">
        <v>57.613233549999997</v>
      </c>
      <c r="O22">
        <v>83.905170799999993</v>
      </c>
      <c r="P22">
        <v>51.147916709999997</v>
      </c>
      <c r="Q22">
        <v>90.867412329999993</v>
      </c>
      <c r="R22">
        <v>55.993030150000003</v>
      </c>
      <c r="S22">
        <v>79.277263700000006</v>
      </c>
      <c r="T22">
        <v>51.203891140000003</v>
      </c>
      <c r="U22">
        <v>83.339776610000001</v>
      </c>
      <c r="V22">
        <v>47.695200890000002</v>
      </c>
      <c r="W22">
        <v>95.241186929999998</v>
      </c>
      <c r="X22">
        <v>52.872021490000002</v>
      </c>
      <c r="Y22">
        <v>97.343222659999995</v>
      </c>
      <c r="Z22">
        <v>65.815540089999999</v>
      </c>
      <c r="AA22">
        <v>95.588374060000007</v>
      </c>
    </row>
    <row r="23" spans="2:27" x14ac:dyDescent="0.2">
      <c r="B23">
        <v>51.538499999999999</v>
      </c>
      <c r="C23">
        <v>96.025599999999997</v>
      </c>
      <c r="D23">
        <v>53.42146288</v>
      </c>
      <c r="E23">
        <v>26.186880389999999</v>
      </c>
      <c r="F23">
        <v>52.801979359999997</v>
      </c>
      <c r="G23">
        <v>90.088064509999995</v>
      </c>
      <c r="H23">
        <v>50.282405670000003</v>
      </c>
      <c r="I23">
        <v>97.609983569999997</v>
      </c>
      <c r="J23">
        <v>35.751870789999998</v>
      </c>
      <c r="K23">
        <v>94.116768030000003</v>
      </c>
      <c r="L23">
        <v>58.196053689999999</v>
      </c>
      <c r="M23">
        <v>92.214988649999995</v>
      </c>
      <c r="N23">
        <v>51.274391819999998</v>
      </c>
      <c r="O23">
        <v>82.817982939999993</v>
      </c>
      <c r="P23">
        <v>50.517125810000003</v>
      </c>
      <c r="Q23">
        <v>89.102394590000003</v>
      </c>
      <c r="R23">
        <v>50.032253789999999</v>
      </c>
      <c r="S23">
        <v>79.013071199999999</v>
      </c>
      <c r="T23">
        <v>58.974469900000003</v>
      </c>
      <c r="U23">
        <v>85.499817609999994</v>
      </c>
      <c r="V23">
        <v>44.609975910000003</v>
      </c>
      <c r="W23">
        <v>93.075835029999993</v>
      </c>
      <c r="X23">
        <v>59.01414449</v>
      </c>
      <c r="Y23">
        <v>93.574874870000002</v>
      </c>
      <c r="Z23">
        <v>65.672265159999995</v>
      </c>
      <c r="AA23">
        <v>91.933401810000007</v>
      </c>
    </row>
    <row r="24" spans="2:27" x14ac:dyDescent="0.2">
      <c r="B24">
        <v>46.153799999999997</v>
      </c>
      <c r="C24">
        <v>94.487200000000001</v>
      </c>
      <c r="D24">
        <v>63.920202260000003</v>
      </c>
      <c r="E24">
        <v>30.832193920000002</v>
      </c>
      <c r="F24">
        <v>47.054129879999998</v>
      </c>
      <c r="G24">
        <v>90.458936030000004</v>
      </c>
      <c r="H24">
        <v>50.186703340000001</v>
      </c>
      <c r="I24">
        <v>99.694680140000003</v>
      </c>
      <c r="J24">
        <v>32.767217960000004</v>
      </c>
      <c r="K24">
        <v>88.518294580000003</v>
      </c>
      <c r="L24">
        <v>58.718230720000001</v>
      </c>
      <c r="M24">
        <v>90.310532089999995</v>
      </c>
      <c r="N24">
        <v>50.753898409999998</v>
      </c>
      <c r="O24">
        <v>76.754128949999995</v>
      </c>
      <c r="P24">
        <v>50.207480199999999</v>
      </c>
      <c r="Q24">
        <v>85.460047399999993</v>
      </c>
      <c r="R24">
        <v>51.288458660000003</v>
      </c>
      <c r="S24">
        <v>82.435939840000003</v>
      </c>
      <c r="T24">
        <v>51.872072670000001</v>
      </c>
      <c r="U24">
        <v>85.829737629999997</v>
      </c>
      <c r="V24">
        <v>43.856381480000003</v>
      </c>
      <c r="W24">
        <v>94.085871769999997</v>
      </c>
      <c r="X24">
        <v>56.375109039999998</v>
      </c>
      <c r="Y24">
        <v>96.305147629999993</v>
      </c>
      <c r="Z24">
        <v>39.002716450000001</v>
      </c>
      <c r="AA24">
        <v>92.261838159999996</v>
      </c>
    </row>
    <row r="25" spans="2:27" x14ac:dyDescent="0.2">
      <c r="B25">
        <v>42.820500000000003</v>
      </c>
      <c r="C25">
        <v>91.410300000000007</v>
      </c>
      <c r="D25">
        <v>70.289505719999994</v>
      </c>
      <c r="E25">
        <v>82.533648589999999</v>
      </c>
      <c r="F25">
        <v>42.448433780000002</v>
      </c>
      <c r="G25">
        <v>89.507700119999996</v>
      </c>
      <c r="H25">
        <v>50.326910859999998</v>
      </c>
      <c r="I25">
        <v>90.022053490000005</v>
      </c>
      <c r="J25">
        <v>33.729606779999997</v>
      </c>
      <c r="K25">
        <v>88.62226579</v>
      </c>
      <c r="L25">
        <v>57.278372869999998</v>
      </c>
      <c r="M25">
        <v>89.907606720000004</v>
      </c>
      <c r="N25">
        <v>37.021184009999999</v>
      </c>
      <c r="O25">
        <v>81.954470000000001</v>
      </c>
      <c r="P25">
        <v>50.069481920000001</v>
      </c>
      <c r="Q25">
        <v>83.057669529999998</v>
      </c>
      <c r="R25">
        <v>51.170536890000001</v>
      </c>
      <c r="S25">
        <v>79.165294110000005</v>
      </c>
      <c r="T25">
        <v>48.17993079</v>
      </c>
      <c r="U25">
        <v>85.045116739999997</v>
      </c>
      <c r="V25">
        <v>41.5789294</v>
      </c>
      <c r="W25">
        <v>90.303566540000006</v>
      </c>
      <c r="X25">
        <v>37.83919968</v>
      </c>
      <c r="Y25">
        <v>94.359443499999998</v>
      </c>
      <c r="Z25">
        <v>37.795302800000002</v>
      </c>
      <c r="AA25">
        <v>93.53245536</v>
      </c>
    </row>
    <row r="26" spans="2:27" x14ac:dyDescent="0.2">
      <c r="B26">
        <v>40.769199999999998</v>
      </c>
      <c r="C26">
        <v>88.333299999999994</v>
      </c>
      <c r="D26">
        <v>34.118830240000001</v>
      </c>
      <c r="E26">
        <v>45.734551320000001</v>
      </c>
      <c r="F26">
        <v>42.70403632</v>
      </c>
      <c r="G26">
        <v>90.442628859999999</v>
      </c>
      <c r="H26">
        <v>50.456207329999998</v>
      </c>
      <c r="I26">
        <v>89.987410130000001</v>
      </c>
      <c r="J26">
        <v>37.238249330000002</v>
      </c>
      <c r="K26">
        <v>83.724928410000004</v>
      </c>
      <c r="L26">
        <v>58.082020489999998</v>
      </c>
      <c r="M26">
        <v>92.008145010000007</v>
      </c>
      <c r="N26">
        <v>42.881755089999999</v>
      </c>
      <c r="O26">
        <v>80.184770049999997</v>
      </c>
      <c r="P26">
        <v>50.56284634</v>
      </c>
      <c r="Q26">
        <v>82.937821779999993</v>
      </c>
      <c r="R26">
        <v>44.377914529999998</v>
      </c>
      <c r="S26">
        <v>78.164627999999993</v>
      </c>
      <c r="T26">
        <v>41.683200399999997</v>
      </c>
      <c r="U26">
        <v>84.017940600000003</v>
      </c>
      <c r="V26">
        <v>49.17741856</v>
      </c>
      <c r="W26">
        <v>96.610532449999994</v>
      </c>
      <c r="X26">
        <v>39.885373420000001</v>
      </c>
      <c r="Y26">
        <v>90.634662079999998</v>
      </c>
      <c r="Z26">
        <v>35.513900589999999</v>
      </c>
      <c r="AA26">
        <v>89.599190109999995</v>
      </c>
    </row>
    <row r="27" spans="2:27" x14ac:dyDescent="0.2">
      <c r="B27">
        <v>38.7179</v>
      </c>
      <c r="C27">
        <v>84.871799999999993</v>
      </c>
      <c r="D27">
        <v>67.670716400000003</v>
      </c>
      <c r="E27">
        <v>37.110947969999998</v>
      </c>
      <c r="F27">
        <v>32.37893863</v>
      </c>
      <c r="G27">
        <v>90.144142630000005</v>
      </c>
      <c r="H27">
        <v>30.46484693</v>
      </c>
      <c r="I27">
        <v>82.089232080000002</v>
      </c>
      <c r="J27">
        <v>36.027198220000002</v>
      </c>
      <c r="K27">
        <v>82.040780650000002</v>
      </c>
      <c r="L27">
        <v>57.489447769999998</v>
      </c>
      <c r="M27">
        <v>88.085285560000003</v>
      </c>
      <c r="N27">
        <v>37.155710480000003</v>
      </c>
      <c r="O27">
        <v>84.954111409999996</v>
      </c>
      <c r="P27">
        <v>50.288527799999997</v>
      </c>
      <c r="Q27">
        <v>82.975253570000007</v>
      </c>
      <c r="R27">
        <v>45.010270069999997</v>
      </c>
      <c r="S27">
        <v>77.880863120000001</v>
      </c>
      <c r="T27">
        <v>37.890415500000003</v>
      </c>
      <c r="U27">
        <v>82.567492999999999</v>
      </c>
      <c r="V27">
        <v>42.652250979999998</v>
      </c>
      <c r="W27">
        <v>90.560639730000005</v>
      </c>
      <c r="X27">
        <v>44.077405130000002</v>
      </c>
      <c r="Y27">
        <v>84.125853300000003</v>
      </c>
      <c r="Z27">
        <v>39.219452910000001</v>
      </c>
      <c r="AA27">
        <v>83.543481839999998</v>
      </c>
    </row>
    <row r="28" spans="2:27" x14ac:dyDescent="0.2">
      <c r="B28">
        <v>35.640999999999998</v>
      </c>
      <c r="C28">
        <v>79.871799999999993</v>
      </c>
      <c r="D28">
        <v>53.25912941</v>
      </c>
      <c r="E28">
        <v>97.475771100000003</v>
      </c>
      <c r="F28">
        <v>32.530702740000002</v>
      </c>
      <c r="G28">
        <v>70.157396509999998</v>
      </c>
      <c r="H28">
        <v>30.501596469999999</v>
      </c>
      <c r="I28">
        <v>82.307126350000004</v>
      </c>
      <c r="J28">
        <v>39.239280780000001</v>
      </c>
      <c r="K28">
        <v>79.263723839999997</v>
      </c>
      <c r="L28">
        <v>28.08874132</v>
      </c>
      <c r="M28">
        <v>63.510794429999997</v>
      </c>
      <c r="N28">
        <v>38.731858129999999</v>
      </c>
      <c r="O28">
        <v>83.789356429999998</v>
      </c>
      <c r="P28">
        <v>25.583475079999999</v>
      </c>
      <c r="Q28">
        <v>82.914891130000001</v>
      </c>
      <c r="R28">
        <v>48.559816720000001</v>
      </c>
      <c r="S28">
        <v>78.788370599999993</v>
      </c>
      <c r="T28">
        <v>39.548973689999997</v>
      </c>
      <c r="U28">
        <v>80.812601770000001</v>
      </c>
      <c r="V28">
        <v>30.123331820000001</v>
      </c>
      <c r="W28">
        <v>81.144295330000006</v>
      </c>
      <c r="X28">
        <v>31.497025489999999</v>
      </c>
      <c r="Y28">
        <v>67.912562159999993</v>
      </c>
      <c r="Z28">
        <v>31.588201389999998</v>
      </c>
      <c r="AA28">
        <v>77.028052419999995</v>
      </c>
    </row>
    <row r="29" spans="2:27" x14ac:dyDescent="0.2">
      <c r="B29">
        <v>33.076900000000002</v>
      </c>
      <c r="C29">
        <v>77.564099999999996</v>
      </c>
      <c r="D29">
        <v>63.514980870000002</v>
      </c>
      <c r="E29">
        <v>25.100078580000002</v>
      </c>
      <c r="F29">
        <v>33.365264430000003</v>
      </c>
      <c r="G29">
        <v>70.459335440000004</v>
      </c>
      <c r="H29">
        <v>30.489569230000001</v>
      </c>
      <c r="I29">
        <v>77.729880140000006</v>
      </c>
      <c r="J29">
        <v>39.784524939999997</v>
      </c>
      <c r="K29">
        <v>82.260565900000003</v>
      </c>
      <c r="L29">
        <v>28.085468209999998</v>
      </c>
      <c r="M29">
        <v>63.590196949999999</v>
      </c>
      <c r="N29">
        <v>31.000525410000002</v>
      </c>
      <c r="O29">
        <v>82.579480599999997</v>
      </c>
      <c r="P29">
        <v>25.48358339</v>
      </c>
      <c r="Q29">
        <v>82.929084979999999</v>
      </c>
      <c r="R29">
        <v>42.142268289999997</v>
      </c>
      <c r="S29">
        <v>76.880634549999996</v>
      </c>
      <c r="T29">
        <v>39.649573879999998</v>
      </c>
      <c r="U29">
        <v>82.66453387</v>
      </c>
      <c r="V29">
        <v>31.91551999</v>
      </c>
      <c r="W29">
        <v>79.790413490000006</v>
      </c>
      <c r="X29">
        <v>25.952596549999999</v>
      </c>
      <c r="Y29">
        <v>73.033180349999995</v>
      </c>
      <c r="Z29">
        <v>32.65777825</v>
      </c>
      <c r="AA29">
        <v>80.113861299999996</v>
      </c>
    </row>
    <row r="30" spans="2:27" x14ac:dyDescent="0.2">
      <c r="B30">
        <v>28.974399999999999</v>
      </c>
      <c r="C30">
        <v>74.487200000000001</v>
      </c>
      <c r="D30">
        <v>67.980538809999999</v>
      </c>
      <c r="E30">
        <v>80.957165219999993</v>
      </c>
      <c r="F30">
        <v>32.656099179999998</v>
      </c>
      <c r="G30">
        <v>70.051070499999994</v>
      </c>
      <c r="H30">
        <v>30.450248330000001</v>
      </c>
      <c r="I30">
        <v>79.834894399999996</v>
      </c>
      <c r="J30">
        <v>35.166029389999999</v>
      </c>
      <c r="K30">
        <v>84.156491979999998</v>
      </c>
      <c r="L30">
        <v>28.08727305</v>
      </c>
      <c r="M30">
        <v>63.123282809999999</v>
      </c>
      <c r="N30">
        <v>25.985499619999999</v>
      </c>
      <c r="O30">
        <v>74.349387550000003</v>
      </c>
      <c r="P30">
        <v>25.443525699999999</v>
      </c>
      <c r="Q30">
        <v>82.874200500000001</v>
      </c>
      <c r="R30">
        <v>41.026971570000001</v>
      </c>
      <c r="S30">
        <v>76.409588459999995</v>
      </c>
      <c r="T30">
        <v>34.750597050000003</v>
      </c>
      <c r="U30">
        <v>80.01109099</v>
      </c>
      <c r="V30">
        <v>27.887719359999998</v>
      </c>
      <c r="W30">
        <v>75.445575989999995</v>
      </c>
      <c r="X30">
        <v>36.434723910000002</v>
      </c>
      <c r="Y30">
        <v>62.29404546</v>
      </c>
      <c r="Z30">
        <v>31.64159927</v>
      </c>
      <c r="AA30">
        <v>77.610833189999994</v>
      </c>
    </row>
    <row r="31" spans="2:27" x14ac:dyDescent="0.2">
      <c r="B31">
        <v>26.1538</v>
      </c>
      <c r="C31">
        <v>71.410300000000007</v>
      </c>
      <c r="D31">
        <v>67.372465899999995</v>
      </c>
      <c r="E31">
        <v>29.7204002</v>
      </c>
      <c r="F31">
        <v>22.955093269999999</v>
      </c>
      <c r="G31">
        <v>70.426895150000007</v>
      </c>
      <c r="H31">
        <v>30.518394799999999</v>
      </c>
      <c r="I31">
        <v>68.252582939999996</v>
      </c>
      <c r="J31">
        <v>40.622115919999999</v>
      </c>
      <c r="K31">
        <v>78.542104210000005</v>
      </c>
      <c r="L31">
        <v>27.578025220000001</v>
      </c>
      <c r="M31">
        <v>62.821038659999999</v>
      </c>
      <c r="N31">
        <v>23.71456629</v>
      </c>
      <c r="O31">
        <v>75.098049079999996</v>
      </c>
      <c r="P31">
        <v>25.565113419999999</v>
      </c>
      <c r="Q31">
        <v>82.924097770000003</v>
      </c>
      <c r="R31">
        <v>34.575309009999998</v>
      </c>
      <c r="S31">
        <v>72.724841179999999</v>
      </c>
      <c r="T31">
        <v>27.56083529</v>
      </c>
      <c r="U31">
        <v>72.847825589999999</v>
      </c>
      <c r="V31">
        <v>27.548234449999999</v>
      </c>
      <c r="W31">
        <v>75.164759050000001</v>
      </c>
      <c r="X31">
        <v>24.997482689999998</v>
      </c>
      <c r="Y31">
        <v>75.441561660000005</v>
      </c>
      <c r="Z31">
        <v>30.987142609999999</v>
      </c>
      <c r="AA31">
        <v>63.944028029999998</v>
      </c>
    </row>
    <row r="32" spans="2:27" x14ac:dyDescent="0.2">
      <c r="B32">
        <v>23.076899999999998</v>
      </c>
      <c r="C32">
        <v>66.410300000000007</v>
      </c>
      <c r="D32">
        <v>15.56074952</v>
      </c>
      <c r="E32">
        <v>80.065640290000005</v>
      </c>
      <c r="F32">
        <v>27.149843629999999</v>
      </c>
      <c r="G32">
        <v>70.210805840000006</v>
      </c>
      <c r="H32">
        <v>30.51166121</v>
      </c>
      <c r="I32">
        <v>66.093718179999996</v>
      </c>
      <c r="J32">
        <v>39.181907090000003</v>
      </c>
      <c r="K32">
        <v>79.819037199999997</v>
      </c>
      <c r="L32">
        <v>27.779919110000002</v>
      </c>
      <c r="M32">
        <v>63.518147519999999</v>
      </c>
      <c r="N32">
        <v>23.077319509999999</v>
      </c>
      <c r="O32">
        <v>71.720539669999994</v>
      </c>
      <c r="P32">
        <v>25.928844269999999</v>
      </c>
      <c r="Q32">
        <v>82.821184110000004</v>
      </c>
      <c r="R32">
        <v>31.168600720000001</v>
      </c>
      <c r="S32">
        <v>69.245421320000005</v>
      </c>
      <c r="T32">
        <v>24.635539980000001</v>
      </c>
      <c r="U32">
        <v>71.610714830000006</v>
      </c>
      <c r="V32">
        <v>20.209778159999999</v>
      </c>
      <c r="W32">
        <v>67.516642099999999</v>
      </c>
      <c r="X32">
        <v>32.246275140000002</v>
      </c>
      <c r="Y32">
        <v>70.110586839999996</v>
      </c>
      <c r="Z32">
        <v>27.439632209999999</v>
      </c>
      <c r="AA32">
        <v>65.744462960000007</v>
      </c>
    </row>
    <row r="33" spans="2:27" x14ac:dyDescent="0.2">
      <c r="B33">
        <v>22.307700000000001</v>
      </c>
      <c r="C33">
        <v>61.794899999999998</v>
      </c>
      <c r="D33">
        <v>71.790767689999996</v>
      </c>
      <c r="E33">
        <v>71.065466659999998</v>
      </c>
      <c r="F33">
        <v>26.166909279999999</v>
      </c>
      <c r="G33">
        <v>70.500315119999996</v>
      </c>
      <c r="H33">
        <v>30.49807771</v>
      </c>
      <c r="I33">
        <v>62.384985030000003</v>
      </c>
      <c r="J33">
        <v>42.43088899</v>
      </c>
      <c r="K33">
        <v>75.133634639999997</v>
      </c>
      <c r="L33">
        <v>28.588999810000001</v>
      </c>
      <c r="M33">
        <v>63.024080570000002</v>
      </c>
      <c r="N33">
        <v>24.939136869999999</v>
      </c>
      <c r="O33">
        <v>72.580285810000007</v>
      </c>
      <c r="P33">
        <v>27.55147826</v>
      </c>
      <c r="Q33">
        <v>51.487386530000002</v>
      </c>
      <c r="R33">
        <v>32.644254070000002</v>
      </c>
      <c r="S33">
        <v>70.73255503</v>
      </c>
      <c r="T33">
        <v>20.95946481</v>
      </c>
      <c r="U33">
        <v>66.041498379999993</v>
      </c>
      <c r="V33">
        <v>24.443452829999998</v>
      </c>
      <c r="W33">
        <v>54.473655119999997</v>
      </c>
      <c r="X33">
        <v>18.109472289999999</v>
      </c>
      <c r="Y33">
        <v>53.708110329999997</v>
      </c>
      <c r="Z33">
        <v>30.578369940000002</v>
      </c>
      <c r="AA33">
        <v>65.521945470000006</v>
      </c>
    </row>
    <row r="34" spans="2:27" x14ac:dyDescent="0.2">
      <c r="B34">
        <v>22.307700000000001</v>
      </c>
      <c r="C34">
        <v>57.179499999999997</v>
      </c>
      <c r="D34">
        <v>70.242546439999998</v>
      </c>
      <c r="E34">
        <v>24.10959755</v>
      </c>
      <c r="F34">
        <v>26.33145708</v>
      </c>
      <c r="G34">
        <v>50.494556529999997</v>
      </c>
      <c r="H34">
        <v>30.620227750000002</v>
      </c>
      <c r="I34">
        <v>60.860082149999997</v>
      </c>
      <c r="J34">
        <v>43.081255859999999</v>
      </c>
      <c r="K34">
        <v>75.346701640000006</v>
      </c>
      <c r="L34">
        <v>28.739141499999999</v>
      </c>
      <c r="M34">
        <v>62.720863889999997</v>
      </c>
      <c r="N34">
        <v>17.893498709999999</v>
      </c>
      <c r="O34">
        <v>71.109687339999994</v>
      </c>
      <c r="P34">
        <v>27.530466369999999</v>
      </c>
      <c r="Q34">
        <v>51.414846560000001</v>
      </c>
      <c r="R34">
        <v>26.66664565</v>
      </c>
      <c r="S34">
        <v>62.98097121</v>
      </c>
      <c r="T34">
        <v>20.689149050000001</v>
      </c>
      <c r="U34">
        <v>62.721305209999997</v>
      </c>
      <c r="V34">
        <v>24.63083013</v>
      </c>
      <c r="W34">
        <v>53.395738899999998</v>
      </c>
      <c r="X34">
        <v>21.796099229999999</v>
      </c>
      <c r="Y34">
        <v>49.499529520000003</v>
      </c>
      <c r="Z34">
        <v>28.809401640000001</v>
      </c>
      <c r="AA34">
        <v>59.621004470000003</v>
      </c>
    </row>
    <row r="35" spans="2:27" x14ac:dyDescent="0.2">
      <c r="B35">
        <v>23.333300000000001</v>
      </c>
      <c r="C35">
        <v>52.948700000000002</v>
      </c>
      <c r="D35">
        <v>64.937435539999996</v>
      </c>
      <c r="E35">
        <v>81.554204990000002</v>
      </c>
      <c r="F35">
        <v>22.003709140000002</v>
      </c>
      <c r="G35">
        <v>50.499440120000003</v>
      </c>
      <c r="H35">
        <v>30.492185419999998</v>
      </c>
      <c r="I35">
        <v>55.878916889999999</v>
      </c>
      <c r="J35">
        <v>44.360719430000003</v>
      </c>
      <c r="K35">
        <v>70.474207050000004</v>
      </c>
      <c r="L35">
        <v>27.024603240000001</v>
      </c>
      <c r="M35">
        <v>62.901858859999997</v>
      </c>
      <c r="N35">
        <v>23.67308186</v>
      </c>
      <c r="O35">
        <v>64.870839140000001</v>
      </c>
      <c r="P35">
        <v>27.09557036</v>
      </c>
      <c r="Q35">
        <v>52.076799440000002</v>
      </c>
      <c r="R35">
        <v>26.459262330000001</v>
      </c>
      <c r="S35">
        <v>62.634673370000002</v>
      </c>
      <c r="T35">
        <v>19.288204740000001</v>
      </c>
      <c r="U35">
        <v>62.063059359999997</v>
      </c>
      <c r="V35">
        <v>21.037968899999999</v>
      </c>
      <c r="W35">
        <v>49.829299650000003</v>
      </c>
      <c r="X35">
        <v>24.150491070000001</v>
      </c>
      <c r="Y35">
        <v>47.188533530000001</v>
      </c>
      <c r="Z35">
        <v>27.939518580000001</v>
      </c>
      <c r="AA35">
        <v>50.985062130000003</v>
      </c>
    </row>
    <row r="36" spans="2:27" x14ac:dyDescent="0.2">
      <c r="B36">
        <v>25.897400000000001</v>
      </c>
      <c r="C36">
        <v>51.025599999999997</v>
      </c>
      <c r="D36">
        <v>62.213524550000002</v>
      </c>
      <c r="E36">
        <v>21.475839000000001</v>
      </c>
      <c r="F36">
        <v>23.284747979999999</v>
      </c>
      <c r="G36">
        <v>50.474352830000001</v>
      </c>
      <c r="H36">
        <v>30.474634330000001</v>
      </c>
      <c r="I36">
        <v>52.322159640000002</v>
      </c>
      <c r="J36">
        <v>44.32477884</v>
      </c>
      <c r="K36">
        <v>71.045904399999998</v>
      </c>
      <c r="L36">
        <v>28.8013367</v>
      </c>
      <c r="M36">
        <v>63.389040389999998</v>
      </c>
      <c r="N36">
        <v>23.749071910000001</v>
      </c>
      <c r="O36">
        <v>63.5571719</v>
      </c>
      <c r="P36">
        <v>27.439249610000001</v>
      </c>
      <c r="Q36">
        <v>51.71207905</v>
      </c>
      <c r="R36">
        <v>25.538007650000001</v>
      </c>
      <c r="S36">
        <v>60.630236109999998</v>
      </c>
      <c r="T36">
        <v>20.024500570000001</v>
      </c>
      <c r="U36">
        <v>61.342623869999997</v>
      </c>
      <c r="V36">
        <v>27.106242930000001</v>
      </c>
      <c r="W36">
        <v>54.719553150000003</v>
      </c>
      <c r="X36">
        <v>28.603195599999999</v>
      </c>
      <c r="Y36">
        <v>44.223722700000003</v>
      </c>
      <c r="Z36">
        <v>33.849949789999997</v>
      </c>
      <c r="AA36">
        <v>46.284474449999998</v>
      </c>
    </row>
    <row r="37" spans="2:27" x14ac:dyDescent="0.2">
      <c r="B37">
        <v>29.487200000000001</v>
      </c>
      <c r="C37">
        <v>51.025599999999997</v>
      </c>
      <c r="D37">
        <v>67.269400480000002</v>
      </c>
      <c r="E37">
        <v>18.708968370000001</v>
      </c>
      <c r="F37">
        <v>27.634038390000001</v>
      </c>
      <c r="G37">
        <v>50.503666860000003</v>
      </c>
      <c r="H37">
        <v>30.500998079999999</v>
      </c>
      <c r="I37">
        <v>48.069699679999999</v>
      </c>
      <c r="J37">
        <v>47.552160200000003</v>
      </c>
      <c r="K37">
        <v>66.460403720000002</v>
      </c>
      <c r="L37">
        <v>27.186463839999998</v>
      </c>
      <c r="M37">
        <v>63.558729649999997</v>
      </c>
      <c r="N37">
        <v>32.215178629999997</v>
      </c>
      <c r="O37">
        <v>65.600958019999993</v>
      </c>
      <c r="P37">
        <v>27.878264260000002</v>
      </c>
      <c r="Q37">
        <v>50.708907930000002</v>
      </c>
      <c r="R37">
        <v>26.320711190000001</v>
      </c>
      <c r="S37">
        <v>62.396281119999998</v>
      </c>
      <c r="T37">
        <v>35.469523000000002</v>
      </c>
      <c r="U37">
        <v>43.115884950000002</v>
      </c>
      <c r="V37">
        <v>28.089617659999998</v>
      </c>
      <c r="W37">
        <v>60.512212550000001</v>
      </c>
      <c r="X37">
        <v>20.931999680000001</v>
      </c>
      <c r="Y37">
        <v>51.646235490000002</v>
      </c>
      <c r="Z37">
        <v>32.628463050000001</v>
      </c>
      <c r="AA37">
        <v>54.063720490000001</v>
      </c>
    </row>
    <row r="38" spans="2:27" x14ac:dyDescent="0.2">
      <c r="B38">
        <v>32.820500000000003</v>
      </c>
      <c r="C38">
        <v>51.025599999999997</v>
      </c>
      <c r="D38">
        <v>40.570197039999996</v>
      </c>
      <c r="E38">
        <v>79.372963479999996</v>
      </c>
      <c r="F38">
        <v>32.037108000000003</v>
      </c>
      <c r="G38">
        <v>50.50006612</v>
      </c>
      <c r="H38">
        <v>30.49442136</v>
      </c>
      <c r="I38">
        <v>45.773475529999999</v>
      </c>
      <c r="J38">
        <v>48.664924620000001</v>
      </c>
      <c r="K38">
        <v>64.961004939999995</v>
      </c>
      <c r="L38">
        <v>29.285146600000001</v>
      </c>
      <c r="M38">
        <v>63.38360583</v>
      </c>
      <c r="N38">
        <v>29.436841250000001</v>
      </c>
      <c r="O38">
        <v>67.554528110000007</v>
      </c>
      <c r="P38">
        <v>27.338868919999999</v>
      </c>
      <c r="Q38">
        <v>51.653046750000001</v>
      </c>
      <c r="R38">
        <v>26.163387459999999</v>
      </c>
      <c r="S38">
        <v>62.026814899999998</v>
      </c>
      <c r="T38">
        <v>36.894327650000001</v>
      </c>
      <c r="U38">
        <v>47.706555969999997</v>
      </c>
      <c r="V38">
        <v>31.135734920000001</v>
      </c>
      <c r="W38">
        <v>61.431912709999999</v>
      </c>
      <c r="X38">
        <v>35.435532530000003</v>
      </c>
      <c r="Y38">
        <v>34.961038160000001</v>
      </c>
      <c r="Z38">
        <v>32.438650090000003</v>
      </c>
      <c r="AA38">
        <v>49.903019489999998</v>
      </c>
    </row>
    <row r="39" spans="2:27" x14ac:dyDescent="0.2">
      <c r="B39">
        <v>35.384599999999999</v>
      </c>
      <c r="C39">
        <v>51.410299999999999</v>
      </c>
      <c r="D39">
        <v>74.741181330000003</v>
      </c>
      <c r="E39">
        <v>21.101637199999999</v>
      </c>
      <c r="F39">
        <v>29.336510650000001</v>
      </c>
      <c r="G39">
        <v>50.461893969999998</v>
      </c>
      <c r="H39">
        <v>30.49954455</v>
      </c>
      <c r="I39">
        <v>49.382099750000002</v>
      </c>
      <c r="J39">
        <v>46.280631960000001</v>
      </c>
      <c r="K39">
        <v>68.028423149999995</v>
      </c>
      <c r="L39">
        <v>39.402945299999999</v>
      </c>
      <c r="M39">
        <v>51.150857199999997</v>
      </c>
      <c r="N39">
        <v>40.050095200000001</v>
      </c>
      <c r="O39">
        <v>71.889033569999995</v>
      </c>
      <c r="P39">
        <v>27.67840297</v>
      </c>
      <c r="Q39">
        <v>51.181989170000001</v>
      </c>
      <c r="R39">
        <v>25.213790459999998</v>
      </c>
      <c r="S39">
        <v>60.2733986</v>
      </c>
      <c r="T39">
        <v>39.05554978</v>
      </c>
      <c r="U39">
        <v>55.546973710000003</v>
      </c>
      <c r="V39">
        <v>37.70083752</v>
      </c>
      <c r="W39">
        <v>68.418405280000002</v>
      </c>
      <c r="X39">
        <v>44.377382820000001</v>
      </c>
      <c r="Y39">
        <v>57.684736919999999</v>
      </c>
      <c r="Z39">
        <v>35.838292080000002</v>
      </c>
      <c r="AA39">
        <v>53.351488340000003</v>
      </c>
    </row>
    <row r="40" spans="2:27" x14ac:dyDescent="0.2">
      <c r="B40">
        <v>40.256399999999999</v>
      </c>
      <c r="C40">
        <v>51.410299999999999</v>
      </c>
      <c r="D40">
        <v>71.768318919999999</v>
      </c>
      <c r="E40">
        <v>20.01106184</v>
      </c>
      <c r="F40">
        <v>40.816953130000002</v>
      </c>
      <c r="G40">
        <v>50.487760199999997</v>
      </c>
      <c r="H40">
        <v>50.144392979999999</v>
      </c>
      <c r="I40">
        <v>47.014283640000002</v>
      </c>
      <c r="J40">
        <v>50.563244480000002</v>
      </c>
      <c r="K40">
        <v>62.623827970000001</v>
      </c>
      <c r="L40">
        <v>28.81132844</v>
      </c>
      <c r="M40">
        <v>61.357854060000001</v>
      </c>
      <c r="N40">
        <v>37.574795020000003</v>
      </c>
      <c r="O40">
        <v>69.988744440000005</v>
      </c>
      <c r="P40">
        <v>52.635657680000001</v>
      </c>
      <c r="Q40">
        <v>51.418552259999998</v>
      </c>
      <c r="R40">
        <v>26.859529559999999</v>
      </c>
      <c r="S40">
        <v>63.141834670000001</v>
      </c>
      <c r="T40">
        <v>46.957080150000003</v>
      </c>
      <c r="U40">
        <v>65.240407390000001</v>
      </c>
      <c r="V40">
        <v>43.392688399999997</v>
      </c>
      <c r="W40">
        <v>43.59759407</v>
      </c>
      <c r="X40">
        <v>46.313692410000002</v>
      </c>
      <c r="Y40">
        <v>55.685591770000002</v>
      </c>
      <c r="Z40">
        <v>37.142042920000002</v>
      </c>
      <c r="AA40">
        <v>49.741987950000002</v>
      </c>
    </row>
    <row r="41" spans="2:27" x14ac:dyDescent="0.2">
      <c r="B41">
        <v>44.102600000000002</v>
      </c>
      <c r="C41">
        <v>52.948700000000002</v>
      </c>
      <c r="D41">
        <v>76.166919809999996</v>
      </c>
      <c r="E41">
        <v>75.936170399999995</v>
      </c>
      <c r="F41">
        <v>42.739075120000003</v>
      </c>
      <c r="G41">
        <v>50.48315599</v>
      </c>
      <c r="H41">
        <v>49.912898589999998</v>
      </c>
      <c r="I41">
        <v>55.587838910000002</v>
      </c>
      <c r="J41">
        <v>52.630964229999996</v>
      </c>
      <c r="K41">
        <v>59.963935790000001</v>
      </c>
      <c r="L41">
        <v>34.303957910000001</v>
      </c>
      <c r="M41">
        <v>56.542125910000003</v>
      </c>
      <c r="N41">
        <v>49.310468630000003</v>
      </c>
      <c r="O41">
        <v>67.168760320000004</v>
      </c>
      <c r="P41">
        <v>52.02521411</v>
      </c>
      <c r="Q41">
        <v>52.123011050000002</v>
      </c>
      <c r="R41">
        <v>31.76066917</v>
      </c>
      <c r="S41">
        <v>69.797655390000003</v>
      </c>
      <c r="T41">
        <v>37.310452740000002</v>
      </c>
      <c r="U41">
        <v>45.258750900000003</v>
      </c>
      <c r="V41">
        <v>51.262397479999997</v>
      </c>
      <c r="W41">
        <v>49.666505129999997</v>
      </c>
      <c r="X41">
        <v>46.386073920000001</v>
      </c>
      <c r="Y41">
        <v>51.002164540000003</v>
      </c>
      <c r="Z41">
        <v>34.644546769999998</v>
      </c>
      <c r="AA41">
        <v>54.444107780000003</v>
      </c>
    </row>
    <row r="42" spans="2:27" x14ac:dyDescent="0.2">
      <c r="B42">
        <v>46.666699999999999</v>
      </c>
      <c r="C42">
        <v>54.102600000000002</v>
      </c>
      <c r="D42">
        <v>65.623657440000002</v>
      </c>
      <c r="E42">
        <v>15.582803350000001</v>
      </c>
      <c r="F42">
        <v>51.867893770000002</v>
      </c>
      <c r="G42">
        <v>50.493273260000002</v>
      </c>
      <c r="H42">
        <v>50.337427490000003</v>
      </c>
      <c r="I42">
        <v>57.955314280000003</v>
      </c>
      <c r="J42">
        <v>54.636206440000002</v>
      </c>
      <c r="K42">
        <v>57.493842440000002</v>
      </c>
      <c r="L42">
        <v>29.602760979999999</v>
      </c>
      <c r="M42">
        <v>60.15734672</v>
      </c>
      <c r="N42">
        <v>47.348018549999999</v>
      </c>
      <c r="O42">
        <v>72.591611540000002</v>
      </c>
      <c r="P42">
        <v>52.88116479</v>
      </c>
      <c r="Q42">
        <v>50.621554760000002</v>
      </c>
      <c r="R42">
        <v>39.793290570000003</v>
      </c>
      <c r="S42">
        <v>75.807964220000002</v>
      </c>
      <c r="T42">
        <v>40.009672000000002</v>
      </c>
      <c r="U42">
        <v>60.986582509999998</v>
      </c>
      <c r="V42">
        <v>43.286712919999999</v>
      </c>
      <c r="W42">
        <v>43.056860319999998</v>
      </c>
      <c r="X42">
        <v>42.495440090000002</v>
      </c>
      <c r="Y42">
        <v>56.90368153</v>
      </c>
      <c r="Z42">
        <v>35.675404700000001</v>
      </c>
      <c r="AA42">
        <v>49.625643349999997</v>
      </c>
    </row>
    <row r="43" spans="2:27" x14ac:dyDescent="0.2">
      <c r="B43">
        <v>50</v>
      </c>
      <c r="C43">
        <v>55.256399999999999</v>
      </c>
      <c r="D43">
        <v>50.850633639999998</v>
      </c>
      <c r="E43">
        <v>13.98760163</v>
      </c>
      <c r="F43">
        <v>43.371001890000002</v>
      </c>
      <c r="G43">
        <v>50.500837320000002</v>
      </c>
      <c r="H43">
        <v>50.418979200000003</v>
      </c>
      <c r="I43">
        <v>60.524911729999999</v>
      </c>
      <c r="J43">
        <v>51.346027139999997</v>
      </c>
      <c r="K43">
        <v>61.600553040000001</v>
      </c>
      <c r="L43">
        <v>49.116156859999997</v>
      </c>
      <c r="M43">
        <v>63.660000619999998</v>
      </c>
      <c r="N43">
        <v>50.157414430000003</v>
      </c>
      <c r="O43">
        <v>71.161725820000001</v>
      </c>
      <c r="P43">
        <v>52.952607309999998</v>
      </c>
      <c r="Q43">
        <v>50.074739010000002</v>
      </c>
      <c r="R43">
        <v>45.617439189999999</v>
      </c>
      <c r="S43">
        <v>78.119970230000007</v>
      </c>
      <c r="T43">
        <v>48.014386680000001</v>
      </c>
      <c r="U43">
        <v>65.712819589999995</v>
      </c>
      <c r="V43">
        <v>55.905916230000003</v>
      </c>
      <c r="W43">
        <v>54.252672529999998</v>
      </c>
      <c r="X43">
        <v>44.30051503</v>
      </c>
      <c r="Y43">
        <v>58.132959280000001</v>
      </c>
      <c r="Z43">
        <v>64.994585470000004</v>
      </c>
      <c r="AA43">
        <v>49.46217283</v>
      </c>
    </row>
    <row r="44" spans="2:27" x14ac:dyDescent="0.2">
      <c r="B44">
        <v>53.076900000000002</v>
      </c>
      <c r="C44">
        <v>55.640999999999998</v>
      </c>
      <c r="D44">
        <v>33.024070020000003</v>
      </c>
      <c r="E44">
        <v>24.46783039</v>
      </c>
      <c r="F44">
        <v>53.042798300000001</v>
      </c>
      <c r="G44">
        <v>50.487503869999998</v>
      </c>
      <c r="H44">
        <v>50.205258970000003</v>
      </c>
      <c r="I44">
        <v>57.924217169999999</v>
      </c>
      <c r="J44">
        <v>57.134855350000002</v>
      </c>
      <c r="K44">
        <v>53.877965799999998</v>
      </c>
      <c r="L44">
        <v>39.617545829999997</v>
      </c>
      <c r="M44">
        <v>62.925187960000002</v>
      </c>
      <c r="N44">
        <v>58.210008270000003</v>
      </c>
      <c r="O44">
        <v>68.044538070000002</v>
      </c>
      <c r="P44">
        <v>52.52055249</v>
      </c>
      <c r="Q44">
        <v>51.502442100000003</v>
      </c>
      <c r="R44">
        <v>53.771460679999997</v>
      </c>
      <c r="S44">
        <v>79.302931639999997</v>
      </c>
      <c r="T44">
        <v>53.703775929999999</v>
      </c>
      <c r="U44">
        <v>66.389482040000004</v>
      </c>
      <c r="V44">
        <v>50.198958949999998</v>
      </c>
      <c r="W44">
        <v>52.225029589999998</v>
      </c>
      <c r="X44">
        <v>46.988283350000003</v>
      </c>
      <c r="Y44">
        <v>55.420636729999998</v>
      </c>
      <c r="Z44">
        <v>66.129149830000003</v>
      </c>
      <c r="AA44">
        <v>61.643717889999998</v>
      </c>
    </row>
    <row r="45" spans="2:27" x14ac:dyDescent="0.2">
      <c r="B45">
        <v>56.666699999999999</v>
      </c>
      <c r="C45">
        <v>56.025599999999997</v>
      </c>
      <c r="D45">
        <v>39.706326169999997</v>
      </c>
      <c r="E45">
        <v>84.2752871</v>
      </c>
      <c r="F45">
        <v>56.618910300000003</v>
      </c>
      <c r="G45">
        <v>50.503374020000003</v>
      </c>
      <c r="H45">
        <v>50.435315160000002</v>
      </c>
      <c r="I45">
        <v>56.43932247</v>
      </c>
      <c r="J45">
        <v>54.171241569999999</v>
      </c>
      <c r="K45">
        <v>58.059807900000003</v>
      </c>
      <c r="L45">
        <v>43.233084660000003</v>
      </c>
      <c r="M45">
        <v>63.165218719999999</v>
      </c>
      <c r="N45">
        <v>56.60890766</v>
      </c>
      <c r="O45">
        <v>70.408946090000001</v>
      </c>
      <c r="P45">
        <v>52.342822060000003</v>
      </c>
      <c r="Q45">
        <v>51.861952090000003</v>
      </c>
      <c r="R45">
        <v>56.45143367</v>
      </c>
      <c r="S45">
        <v>79.247107020000001</v>
      </c>
      <c r="T45">
        <v>63.067499890000001</v>
      </c>
      <c r="U45">
        <v>64.035000460000006</v>
      </c>
      <c r="V45">
        <v>55.761587370000001</v>
      </c>
      <c r="W45">
        <v>54.030517240000002</v>
      </c>
      <c r="X45">
        <v>52.42152316</v>
      </c>
      <c r="Y45">
        <v>47.867005489999997</v>
      </c>
      <c r="Z45">
        <v>65.790651879999999</v>
      </c>
      <c r="AA45">
        <v>55.945373719999999</v>
      </c>
    </row>
    <row r="46" spans="2:27" x14ac:dyDescent="0.2">
      <c r="B46">
        <v>59.230800000000002</v>
      </c>
      <c r="C46">
        <v>57.948700000000002</v>
      </c>
      <c r="D46">
        <v>45.596484949999997</v>
      </c>
      <c r="E46">
        <v>9.7633488489999998</v>
      </c>
      <c r="F46">
        <v>70.568289820000004</v>
      </c>
      <c r="G46">
        <v>50.496236119999999</v>
      </c>
      <c r="H46">
        <v>69.505788899999999</v>
      </c>
      <c r="I46">
        <v>59.284924830000001</v>
      </c>
      <c r="J46">
        <v>50.942382309999999</v>
      </c>
      <c r="K46">
        <v>62.097393940000003</v>
      </c>
      <c r="L46">
        <v>64.892787940000005</v>
      </c>
      <c r="M46">
        <v>65.814176759999995</v>
      </c>
      <c r="N46">
        <v>52.833820529999997</v>
      </c>
      <c r="O46">
        <v>72.551886269999997</v>
      </c>
      <c r="P46">
        <v>51.927590209999998</v>
      </c>
      <c r="Q46">
        <v>52.257790610000001</v>
      </c>
      <c r="R46">
        <v>66.093720200000007</v>
      </c>
      <c r="S46">
        <v>77.017818259999999</v>
      </c>
      <c r="T46">
        <v>62.048032509999999</v>
      </c>
      <c r="U46">
        <v>63.845863250000001</v>
      </c>
      <c r="V46">
        <v>58.323139650000002</v>
      </c>
      <c r="W46">
        <v>60.031059159999998</v>
      </c>
      <c r="X46">
        <v>64.090998189999993</v>
      </c>
      <c r="Y46">
        <v>68.650985009999999</v>
      </c>
      <c r="Z46">
        <v>67.501780609999997</v>
      </c>
      <c r="AA46">
        <v>60.85022747</v>
      </c>
    </row>
    <row r="47" spans="2:27" x14ac:dyDescent="0.2">
      <c r="B47">
        <v>61.2821</v>
      </c>
      <c r="C47">
        <v>62.179499999999997</v>
      </c>
      <c r="D47">
        <v>42.968046909999998</v>
      </c>
      <c r="E47">
        <v>17.9454584</v>
      </c>
      <c r="F47">
        <v>67.870887289999999</v>
      </c>
      <c r="G47">
        <v>70.068026130000007</v>
      </c>
      <c r="H47">
        <v>69.534070979999996</v>
      </c>
      <c r="I47">
        <v>64.892977329999994</v>
      </c>
      <c r="J47">
        <v>66.512924459999994</v>
      </c>
      <c r="K47">
        <v>59.071281849999998</v>
      </c>
      <c r="L47">
        <v>62.49014932</v>
      </c>
      <c r="M47">
        <v>74.584289609999999</v>
      </c>
      <c r="N47">
        <v>61.818585460000001</v>
      </c>
      <c r="O47">
        <v>76.112824020000005</v>
      </c>
      <c r="P47">
        <v>52.713774489999999</v>
      </c>
      <c r="Q47">
        <v>51.197944319999998</v>
      </c>
      <c r="R47">
        <v>56.925839420000003</v>
      </c>
      <c r="S47">
        <v>79.206318620000005</v>
      </c>
      <c r="T47">
        <v>59.839966709999999</v>
      </c>
      <c r="U47">
        <v>64.476764439999997</v>
      </c>
      <c r="V47">
        <v>70.171457529999998</v>
      </c>
      <c r="W47">
        <v>70.282221239999998</v>
      </c>
      <c r="X47">
        <v>63.016871760000001</v>
      </c>
      <c r="Y47">
        <v>68.225258909999994</v>
      </c>
      <c r="Z47">
        <v>67.629514220000004</v>
      </c>
      <c r="AA47">
        <v>61.429106070000003</v>
      </c>
    </row>
    <row r="48" spans="2:27" x14ac:dyDescent="0.2">
      <c r="B48">
        <v>61.538499999999999</v>
      </c>
      <c r="C48">
        <v>66.410300000000007</v>
      </c>
      <c r="D48">
        <v>52.494406779999998</v>
      </c>
      <c r="E48">
        <v>16.051114200000001</v>
      </c>
      <c r="F48">
        <v>58.821546589999997</v>
      </c>
      <c r="G48">
        <v>70.45578175</v>
      </c>
      <c r="H48">
        <v>69.510106930000006</v>
      </c>
      <c r="I48">
        <v>61.329624430000003</v>
      </c>
      <c r="J48">
        <v>64.397909499999997</v>
      </c>
      <c r="K48">
        <v>56.174875399999998</v>
      </c>
      <c r="L48">
        <v>68.988084430000001</v>
      </c>
      <c r="M48">
        <v>63.232147310000002</v>
      </c>
      <c r="N48">
        <v>61.727633410000003</v>
      </c>
      <c r="O48">
        <v>77.069238409999997</v>
      </c>
      <c r="P48">
        <v>50.443802789999999</v>
      </c>
      <c r="Q48">
        <v>82.941828819999998</v>
      </c>
      <c r="R48">
        <v>58.98825385</v>
      </c>
      <c r="S48">
        <v>78.917258959999998</v>
      </c>
      <c r="T48">
        <v>55.160941819999998</v>
      </c>
      <c r="U48">
        <v>65.237308170000006</v>
      </c>
      <c r="V48">
        <v>60.600276469999997</v>
      </c>
      <c r="W48">
        <v>59.753308879999999</v>
      </c>
      <c r="X48">
        <v>67.302577920000004</v>
      </c>
      <c r="Y48">
        <v>64.413462719999998</v>
      </c>
      <c r="Z48">
        <v>63.910064060000003</v>
      </c>
      <c r="AA48">
        <v>62.972334930000002</v>
      </c>
    </row>
    <row r="49" spans="2:27" x14ac:dyDescent="0.2">
      <c r="B49">
        <v>61.794899999999998</v>
      </c>
      <c r="C49">
        <v>69.102599999999995</v>
      </c>
      <c r="D49">
        <v>46.082275780000003</v>
      </c>
      <c r="E49">
        <v>23.110457820000001</v>
      </c>
      <c r="F49">
        <v>60.186927840000003</v>
      </c>
      <c r="G49">
        <v>70.483551250000005</v>
      </c>
      <c r="H49">
        <v>69.526322890000003</v>
      </c>
      <c r="I49">
        <v>56.99527913</v>
      </c>
      <c r="J49">
        <v>68.686593290000005</v>
      </c>
      <c r="K49">
        <v>62.237343989999999</v>
      </c>
      <c r="L49">
        <v>62.105618630000002</v>
      </c>
      <c r="M49">
        <v>75.990870760000007</v>
      </c>
      <c r="N49">
        <v>62.192252080000003</v>
      </c>
      <c r="O49">
        <v>76.156819209999995</v>
      </c>
      <c r="P49">
        <v>50.216695029999997</v>
      </c>
      <c r="Q49">
        <v>83.752342970000001</v>
      </c>
      <c r="R49">
        <v>57.902266050000001</v>
      </c>
      <c r="S49">
        <v>79.080867819999995</v>
      </c>
      <c r="T49">
        <v>61.27978658</v>
      </c>
      <c r="U49">
        <v>65.766402499999998</v>
      </c>
      <c r="V49">
        <v>63.760275020000002</v>
      </c>
      <c r="W49">
        <v>61.185641169999997</v>
      </c>
      <c r="X49">
        <v>67.225956890000006</v>
      </c>
      <c r="Y49">
        <v>62.476410530000003</v>
      </c>
      <c r="Z49">
        <v>66.549357970000003</v>
      </c>
      <c r="AA49">
        <v>67.72558866</v>
      </c>
    </row>
    <row r="50" spans="2:27" x14ac:dyDescent="0.2">
      <c r="B50">
        <v>57.435899999999997</v>
      </c>
      <c r="C50">
        <v>55.256399999999999</v>
      </c>
      <c r="D50">
        <v>74.247708209999999</v>
      </c>
      <c r="E50">
        <v>20.31418781</v>
      </c>
      <c r="F50">
        <v>59.435517480000001</v>
      </c>
      <c r="G50">
        <v>50.420632609999998</v>
      </c>
      <c r="H50">
        <v>49.947239959999997</v>
      </c>
      <c r="I50">
        <v>48.229576729999998</v>
      </c>
      <c r="J50">
        <v>65.027793709999997</v>
      </c>
      <c r="K50">
        <v>57.096257350000002</v>
      </c>
      <c r="L50">
        <v>32.461846739999999</v>
      </c>
      <c r="M50">
        <v>62.881902920000002</v>
      </c>
      <c r="N50">
        <v>58.118765860000003</v>
      </c>
      <c r="O50">
        <v>73.118961470000002</v>
      </c>
      <c r="P50">
        <v>52.18418011</v>
      </c>
      <c r="Q50">
        <v>51.975250670000001</v>
      </c>
      <c r="R50">
        <v>64.812866959999994</v>
      </c>
      <c r="S50">
        <v>77.48693892</v>
      </c>
      <c r="T50">
        <v>60.834917529999998</v>
      </c>
      <c r="U50">
        <v>64.603769709999995</v>
      </c>
      <c r="V50">
        <v>54.389495259999997</v>
      </c>
      <c r="W50">
        <v>53.811901229999997</v>
      </c>
      <c r="X50">
        <v>50.30998872</v>
      </c>
      <c r="Y50">
        <v>47.267881860000003</v>
      </c>
      <c r="Z50">
        <v>64.051541709999995</v>
      </c>
      <c r="AA50">
        <v>48.820093980000003</v>
      </c>
    </row>
    <row r="51" spans="2:27" x14ac:dyDescent="0.2">
      <c r="B51">
        <v>54.8718</v>
      </c>
      <c r="C51">
        <v>49.8718</v>
      </c>
      <c r="D51">
        <v>64.568264189999994</v>
      </c>
      <c r="E51">
        <v>83.639633900000007</v>
      </c>
      <c r="F51">
        <v>49.585843480000001</v>
      </c>
      <c r="G51">
        <v>50.434981380000004</v>
      </c>
      <c r="H51">
        <v>50.063104129999999</v>
      </c>
      <c r="I51">
        <v>58.085037560000004</v>
      </c>
      <c r="J51">
        <v>53.304503169999997</v>
      </c>
      <c r="K51">
        <v>40.883844549999999</v>
      </c>
      <c r="L51">
        <v>41.327200650000002</v>
      </c>
      <c r="M51">
        <v>49.07025127</v>
      </c>
      <c r="N51">
        <v>58.270412380000003</v>
      </c>
      <c r="O51">
        <v>35.59689504</v>
      </c>
      <c r="P51">
        <v>52.792097349999999</v>
      </c>
      <c r="Q51">
        <v>51.073395650000002</v>
      </c>
      <c r="R51">
        <v>60.349793519999999</v>
      </c>
      <c r="S51">
        <v>78.729445870000006</v>
      </c>
      <c r="T51">
        <v>61.520590650000003</v>
      </c>
      <c r="U51">
        <v>64.791855040000002</v>
      </c>
      <c r="V51">
        <v>55.241296990000002</v>
      </c>
      <c r="W51">
        <v>52.593574629999999</v>
      </c>
      <c r="X51">
        <v>45.412638919999999</v>
      </c>
      <c r="Y51">
        <v>53.870797690000003</v>
      </c>
      <c r="Z51">
        <v>68.193289579999998</v>
      </c>
      <c r="AA51">
        <v>46.543540810000003</v>
      </c>
    </row>
    <row r="52" spans="2:27" x14ac:dyDescent="0.2">
      <c r="B52">
        <v>52.564100000000003</v>
      </c>
      <c r="C52">
        <v>46.025599999999997</v>
      </c>
      <c r="D52">
        <v>74.021693909999996</v>
      </c>
      <c r="E52">
        <v>76.128274509999997</v>
      </c>
      <c r="F52">
        <v>41.779741780000002</v>
      </c>
      <c r="G52">
        <v>50.47064228</v>
      </c>
      <c r="H52">
        <v>50.489902370000003</v>
      </c>
      <c r="I52">
        <v>39.20541197</v>
      </c>
      <c r="J52">
        <v>52.945178089999999</v>
      </c>
      <c r="K52">
        <v>40.38462569</v>
      </c>
      <c r="L52">
        <v>44.007149929999997</v>
      </c>
      <c r="M52">
        <v>46.449673779999998</v>
      </c>
      <c r="N52">
        <v>59.76653031</v>
      </c>
      <c r="O52">
        <v>32.621251600000001</v>
      </c>
      <c r="P52">
        <v>52.589719860000002</v>
      </c>
      <c r="Q52">
        <v>51.338090200000003</v>
      </c>
      <c r="R52">
        <v>48.890555759999998</v>
      </c>
      <c r="S52">
        <v>16.806543520000002</v>
      </c>
      <c r="T52">
        <v>36.916543859999997</v>
      </c>
      <c r="U52">
        <v>41.095247440000001</v>
      </c>
      <c r="V52">
        <v>49.07012675</v>
      </c>
      <c r="W52">
        <v>48.896944679999997</v>
      </c>
      <c r="X52">
        <v>54.020607179999999</v>
      </c>
      <c r="Y52">
        <v>47.269897210000003</v>
      </c>
      <c r="Z52">
        <v>65.278389200000007</v>
      </c>
      <c r="AA52">
        <v>44.820352929999999</v>
      </c>
    </row>
    <row r="53" spans="2:27" x14ac:dyDescent="0.2">
      <c r="B53">
        <v>48.205100000000002</v>
      </c>
      <c r="C53">
        <v>38.333300000000001</v>
      </c>
      <c r="D53">
        <v>62.391180560000002</v>
      </c>
      <c r="E53">
        <v>5.6230707610000001</v>
      </c>
      <c r="F53">
        <v>46.127686339999997</v>
      </c>
      <c r="G53">
        <v>30.449410780000001</v>
      </c>
      <c r="H53">
        <v>49.688863840000003</v>
      </c>
      <c r="I53">
        <v>42.018514410000002</v>
      </c>
      <c r="J53">
        <v>45.225738200000002</v>
      </c>
      <c r="K53">
        <v>30.555225920000002</v>
      </c>
      <c r="L53">
        <v>44.074060690000003</v>
      </c>
      <c r="M53">
        <v>34.553203889999999</v>
      </c>
      <c r="N53">
        <v>52.535534720000001</v>
      </c>
      <c r="O53">
        <v>27.17412294</v>
      </c>
      <c r="P53">
        <v>52.028848670000002</v>
      </c>
      <c r="Q53">
        <v>52.176837499999998</v>
      </c>
      <c r="R53">
        <v>47.549506350000001</v>
      </c>
      <c r="S53">
        <v>17.071404520000002</v>
      </c>
      <c r="T53">
        <v>38.502199670000003</v>
      </c>
      <c r="U53">
        <v>41.567155620000001</v>
      </c>
      <c r="V53">
        <v>46.01811902</v>
      </c>
      <c r="W53">
        <v>46.257723370000001</v>
      </c>
      <c r="X53">
        <v>49.842022249999999</v>
      </c>
      <c r="Y53">
        <v>50.576552290000002</v>
      </c>
      <c r="Z53">
        <v>34.997661389999998</v>
      </c>
      <c r="AA53">
        <v>28.632993939999999</v>
      </c>
    </row>
    <row r="54" spans="2:27" x14ac:dyDescent="0.2">
      <c r="B54">
        <v>49.487200000000001</v>
      </c>
      <c r="C54">
        <v>42.179499999999997</v>
      </c>
      <c r="D54">
        <v>74.189036680000001</v>
      </c>
      <c r="E54">
        <v>68.133583220000006</v>
      </c>
      <c r="F54">
        <v>38.033783769999999</v>
      </c>
      <c r="G54">
        <v>50.490899519999999</v>
      </c>
      <c r="H54">
        <v>50.333481110000001</v>
      </c>
      <c r="I54">
        <v>43.588671480000002</v>
      </c>
      <c r="J54">
        <v>50.843304619999998</v>
      </c>
      <c r="K54">
        <v>37.7446281</v>
      </c>
      <c r="L54">
        <v>44.001315239999997</v>
      </c>
      <c r="M54">
        <v>33.90420735</v>
      </c>
      <c r="N54">
        <v>50.89252158</v>
      </c>
      <c r="O54">
        <v>29.145283939999999</v>
      </c>
      <c r="P54">
        <v>52.729246580000002</v>
      </c>
      <c r="Q54">
        <v>51.201765049999999</v>
      </c>
      <c r="R54">
        <v>30.889430829999998</v>
      </c>
      <c r="S54">
        <v>26.329037230000001</v>
      </c>
      <c r="T54">
        <v>48.664370730000002</v>
      </c>
      <c r="U54">
        <v>30.680666850000001</v>
      </c>
      <c r="V54">
        <v>44.759587439999997</v>
      </c>
      <c r="W54">
        <v>41.974606610000002</v>
      </c>
      <c r="X54">
        <v>50.713299569999997</v>
      </c>
      <c r="Y54">
        <v>48.772286780000002</v>
      </c>
      <c r="Z54">
        <v>33.92376617</v>
      </c>
      <c r="AA54">
        <v>53.558688519999997</v>
      </c>
    </row>
    <row r="55" spans="2:27" x14ac:dyDescent="0.2">
      <c r="B55">
        <v>51.025599999999997</v>
      </c>
      <c r="C55">
        <v>44.102600000000002</v>
      </c>
      <c r="D55">
        <v>28.23678194</v>
      </c>
      <c r="E55">
        <v>56.139596449999999</v>
      </c>
      <c r="F55">
        <v>44.546841280000002</v>
      </c>
      <c r="G55">
        <v>50.415913379999999</v>
      </c>
      <c r="H55">
        <v>50.446751419999998</v>
      </c>
      <c r="I55">
        <v>57.230588939999997</v>
      </c>
      <c r="J55">
        <v>49.659293939999998</v>
      </c>
      <c r="K55">
        <v>36.27344274</v>
      </c>
      <c r="L55">
        <v>45.006300449999998</v>
      </c>
      <c r="M55">
        <v>38.299019549999997</v>
      </c>
      <c r="N55">
        <v>49.967551180000001</v>
      </c>
      <c r="O55">
        <v>28.460203329999999</v>
      </c>
      <c r="P55">
        <v>52.884313290000001</v>
      </c>
      <c r="Q55">
        <v>50.44143545</v>
      </c>
      <c r="R55">
        <v>28.972835719999999</v>
      </c>
      <c r="S55">
        <v>29.05046892</v>
      </c>
      <c r="T55">
        <v>50.285252399999997</v>
      </c>
      <c r="U55">
        <v>30.337922110000001</v>
      </c>
      <c r="V55">
        <v>51.60062413</v>
      </c>
      <c r="W55">
        <v>50.032466890000002</v>
      </c>
      <c r="X55">
        <v>55.04555491</v>
      </c>
      <c r="Y55">
        <v>45.986272749999998</v>
      </c>
      <c r="Z55">
        <v>66.004454370000005</v>
      </c>
      <c r="AA55">
        <v>52.684669149999998</v>
      </c>
    </row>
    <row r="56" spans="2:27" x14ac:dyDescent="0.2">
      <c r="B56">
        <v>45.384599999999999</v>
      </c>
      <c r="C56">
        <v>36.410299999999999</v>
      </c>
      <c r="D56">
        <v>75.771938789999993</v>
      </c>
      <c r="E56">
        <v>69.829230030000005</v>
      </c>
      <c r="F56">
        <v>46.238117600000002</v>
      </c>
      <c r="G56">
        <v>30.495612940000001</v>
      </c>
      <c r="H56">
        <v>50.420909199999997</v>
      </c>
      <c r="I56">
        <v>43.3479569</v>
      </c>
      <c r="J56">
        <v>47.142788930000002</v>
      </c>
      <c r="K56">
        <v>32.02506417</v>
      </c>
      <c r="L56">
        <v>44.443840610000002</v>
      </c>
      <c r="M56">
        <v>36.019083299999998</v>
      </c>
      <c r="N56">
        <v>51.347883230000001</v>
      </c>
      <c r="O56">
        <v>27.364260229999999</v>
      </c>
      <c r="P56">
        <v>52.509300889999999</v>
      </c>
      <c r="Q56">
        <v>51.416205150000003</v>
      </c>
      <c r="R56">
        <v>35.16136075</v>
      </c>
      <c r="S56">
        <v>22.786849650000001</v>
      </c>
      <c r="T56">
        <v>42.276332670000002</v>
      </c>
      <c r="U56">
        <v>34.527636119999997</v>
      </c>
      <c r="V56">
        <v>36.465882020000002</v>
      </c>
      <c r="W56">
        <v>35.524187609999998</v>
      </c>
      <c r="X56">
        <v>37.543701259999999</v>
      </c>
      <c r="Y56">
        <v>32.88402447</v>
      </c>
      <c r="Z56">
        <v>37.023256250000003</v>
      </c>
      <c r="AA56">
        <v>32.118481680000002</v>
      </c>
    </row>
    <row r="57" spans="2:27" x14ac:dyDescent="0.2">
      <c r="B57">
        <v>42.820500000000003</v>
      </c>
      <c r="C57">
        <v>32.564100000000003</v>
      </c>
      <c r="D57">
        <v>75.855229469999998</v>
      </c>
      <c r="E57">
        <v>62.517044290000001</v>
      </c>
      <c r="F57">
        <v>49.739745329999998</v>
      </c>
      <c r="G57">
        <v>30.472724889999999</v>
      </c>
      <c r="H57">
        <v>50.374052050000003</v>
      </c>
      <c r="I57">
        <v>32.918240619999999</v>
      </c>
      <c r="J57">
        <v>41.270056529999998</v>
      </c>
      <c r="K57">
        <v>21.72181715</v>
      </c>
      <c r="L57">
        <v>42.178713399999999</v>
      </c>
      <c r="M57">
        <v>26.492119479999999</v>
      </c>
      <c r="N57">
        <v>37.555116290000001</v>
      </c>
      <c r="O57">
        <v>24.53766384</v>
      </c>
      <c r="P57">
        <v>50.86268433</v>
      </c>
      <c r="Q57">
        <v>17.145631089999998</v>
      </c>
      <c r="R57">
        <v>45.870369169999996</v>
      </c>
      <c r="S57">
        <v>17.489393369999998</v>
      </c>
      <c r="T57">
        <v>54.031775619999998</v>
      </c>
      <c r="U57">
        <v>29.67234831</v>
      </c>
      <c r="V57">
        <v>33.394798729999998</v>
      </c>
      <c r="W57">
        <v>35.016801309999998</v>
      </c>
      <c r="X57">
        <v>39.79589781</v>
      </c>
      <c r="Y57">
        <v>28.443219119999998</v>
      </c>
      <c r="Z57">
        <v>34.698270090000001</v>
      </c>
      <c r="AA57">
        <v>36.475354129999999</v>
      </c>
    </row>
    <row r="58" spans="2:27" x14ac:dyDescent="0.2">
      <c r="B58">
        <v>38.7179</v>
      </c>
      <c r="C58">
        <v>31.410299999999999</v>
      </c>
      <c r="D58">
        <v>65.970857019999997</v>
      </c>
      <c r="E58">
        <v>72.744855999999999</v>
      </c>
      <c r="F58">
        <v>39.110251890000001</v>
      </c>
      <c r="G58">
        <v>30.478695179999999</v>
      </c>
      <c r="H58">
        <v>30.476829909999999</v>
      </c>
      <c r="I58">
        <v>39.424605589999999</v>
      </c>
      <c r="J58">
        <v>47.130127160000001</v>
      </c>
      <c r="K58">
        <v>31.309902919999999</v>
      </c>
      <c r="L58">
        <v>44.04456562</v>
      </c>
      <c r="M58">
        <v>35.662238279999997</v>
      </c>
      <c r="N58">
        <v>39.199594179999998</v>
      </c>
      <c r="O58">
        <v>23.680495659999998</v>
      </c>
      <c r="P58">
        <v>50.891492249999999</v>
      </c>
      <c r="Q58">
        <v>17.14132373</v>
      </c>
      <c r="R58">
        <v>32.831420610000002</v>
      </c>
      <c r="S58">
        <v>24.797538150000001</v>
      </c>
      <c r="T58">
        <v>37.32935526</v>
      </c>
      <c r="U58">
        <v>39.602042310000002</v>
      </c>
      <c r="V58">
        <v>37.580071570000001</v>
      </c>
      <c r="W58">
        <v>38.831572199999997</v>
      </c>
      <c r="X58">
        <v>28.523391019999998</v>
      </c>
      <c r="Y58">
        <v>39.796666250000001</v>
      </c>
      <c r="Z58">
        <v>34.863444170000001</v>
      </c>
      <c r="AA58">
        <v>30.939274520000001</v>
      </c>
    </row>
    <row r="59" spans="2:27" x14ac:dyDescent="0.2">
      <c r="B59">
        <v>35.1282</v>
      </c>
      <c r="C59">
        <v>30.256399999999999</v>
      </c>
      <c r="D59">
        <v>21.778040480000001</v>
      </c>
      <c r="E59">
        <v>6.6166253069999996</v>
      </c>
      <c r="F59">
        <v>39.142837790000002</v>
      </c>
      <c r="G59">
        <v>30.792855939999999</v>
      </c>
      <c r="H59">
        <v>30.503474350000001</v>
      </c>
      <c r="I59">
        <v>38.348556139999999</v>
      </c>
      <c r="J59">
        <v>40.915971579999997</v>
      </c>
      <c r="K59">
        <v>23.541592390000002</v>
      </c>
      <c r="L59">
        <v>41.64045402</v>
      </c>
      <c r="M59">
        <v>27.093095420000001</v>
      </c>
      <c r="N59">
        <v>36.382722200000003</v>
      </c>
      <c r="O59">
        <v>25.238005229999999</v>
      </c>
      <c r="P59">
        <v>25.855127599999999</v>
      </c>
      <c r="Q59">
        <v>17.081908689999999</v>
      </c>
      <c r="R59">
        <v>39.485574790000001</v>
      </c>
      <c r="S59">
        <v>20.03305005</v>
      </c>
      <c r="T59">
        <v>41.389522550000002</v>
      </c>
      <c r="U59">
        <v>37.296056229999998</v>
      </c>
      <c r="V59">
        <v>36.619722060000001</v>
      </c>
      <c r="W59">
        <v>36.811414110000001</v>
      </c>
      <c r="X59">
        <v>31.399646000000001</v>
      </c>
      <c r="Y59">
        <v>39.265263220000001</v>
      </c>
      <c r="Z59">
        <v>31.090065079999999</v>
      </c>
      <c r="AA59">
        <v>32.383754719999999</v>
      </c>
    </row>
    <row r="60" spans="2:27" x14ac:dyDescent="0.2">
      <c r="B60">
        <v>32.564100000000003</v>
      </c>
      <c r="C60">
        <v>32.179499999999997</v>
      </c>
      <c r="D60">
        <v>67.759796249999994</v>
      </c>
      <c r="E60">
        <v>72.421201530000005</v>
      </c>
      <c r="F60">
        <v>34.625470270000001</v>
      </c>
      <c r="G60">
        <v>30.499741029999999</v>
      </c>
      <c r="H60">
        <v>30.504834930000001</v>
      </c>
      <c r="I60">
        <v>28.771487990000001</v>
      </c>
      <c r="J60">
        <v>38.660163969999999</v>
      </c>
      <c r="K60">
        <v>21.689549639999999</v>
      </c>
      <c r="L60">
        <v>41.938330010000001</v>
      </c>
      <c r="M60">
        <v>24.991522979999999</v>
      </c>
      <c r="N60">
        <v>41.10069438</v>
      </c>
      <c r="O60">
        <v>26.552613220000001</v>
      </c>
      <c r="P60">
        <v>26.025644549999999</v>
      </c>
      <c r="Q60">
        <v>16.925013530000001</v>
      </c>
      <c r="R60">
        <v>33.446182929999999</v>
      </c>
      <c r="S60">
        <v>24.19064341</v>
      </c>
      <c r="T60">
        <v>40.074666659999998</v>
      </c>
      <c r="U60">
        <v>34.623685199999997</v>
      </c>
      <c r="V60">
        <v>36.163466440000001</v>
      </c>
      <c r="W60">
        <v>33.819314200000001</v>
      </c>
      <c r="X60">
        <v>39.241565219999998</v>
      </c>
      <c r="Y60">
        <v>33.361416679999998</v>
      </c>
      <c r="Z60">
        <v>34.921306149999999</v>
      </c>
      <c r="AA60">
        <v>35.418438049999999</v>
      </c>
    </row>
    <row r="61" spans="2:27" x14ac:dyDescent="0.2">
      <c r="B61">
        <v>30</v>
      </c>
      <c r="C61">
        <v>36.794899999999998</v>
      </c>
      <c r="D61">
        <v>78.617195339999995</v>
      </c>
      <c r="E61">
        <v>52.575257309999998</v>
      </c>
      <c r="F61">
        <v>34.754207469999997</v>
      </c>
      <c r="G61">
        <v>30.495864999999998</v>
      </c>
      <c r="H61">
        <v>30.462218459999999</v>
      </c>
      <c r="I61">
        <v>32.750472029999997</v>
      </c>
      <c r="J61">
        <v>42.612550830000004</v>
      </c>
      <c r="K61">
        <v>24.195053770000001</v>
      </c>
      <c r="L61">
        <v>44.053927510000001</v>
      </c>
      <c r="M61">
        <v>33.55639249</v>
      </c>
      <c r="N61">
        <v>28.217811820000001</v>
      </c>
      <c r="O61">
        <v>28.28029248</v>
      </c>
      <c r="P61">
        <v>27.893172719999999</v>
      </c>
      <c r="Q61">
        <v>50.661963409999998</v>
      </c>
      <c r="R61">
        <v>21.863581279999998</v>
      </c>
      <c r="S61">
        <v>46.052593350000002</v>
      </c>
      <c r="T61">
        <v>35.349680620000001</v>
      </c>
      <c r="U61">
        <v>47.141073130000002</v>
      </c>
      <c r="V61">
        <v>33.167757029999997</v>
      </c>
      <c r="W61">
        <v>31.247741170000001</v>
      </c>
      <c r="X61">
        <v>27.71405657</v>
      </c>
      <c r="Y61">
        <v>42.250051630000002</v>
      </c>
      <c r="Z61">
        <v>30.343361179999999</v>
      </c>
      <c r="AA61">
        <v>32.52456317</v>
      </c>
    </row>
    <row r="62" spans="2:27" x14ac:dyDescent="0.2">
      <c r="B62">
        <v>33.589700000000001</v>
      </c>
      <c r="C62">
        <v>41.410299999999999</v>
      </c>
      <c r="D62">
        <v>68.507708190000002</v>
      </c>
      <c r="E62">
        <v>15.45691897</v>
      </c>
      <c r="F62">
        <v>36.753700240000001</v>
      </c>
      <c r="G62">
        <v>50.5293043</v>
      </c>
      <c r="H62">
        <v>30.491302619999999</v>
      </c>
      <c r="I62">
        <v>43.56137408</v>
      </c>
      <c r="J62">
        <v>41.209039500000003</v>
      </c>
      <c r="K62">
        <v>24.128709189999999</v>
      </c>
      <c r="L62">
        <v>39.206719329999999</v>
      </c>
      <c r="M62">
        <v>51.533715700000002</v>
      </c>
      <c r="N62">
        <v>33.797072040000003</v>
      </c>
      <c r="O62">
        <v>28.699750739999999</v>
      </c>
      <c r="P62">
        <v>27.639967939999998</v>
      </c>
      <c r="Q62">
        <v>51.399097480000002</v>
      </c>
      <c r="R62">
        <v>25.16587084</v>
      </c>
      <c r="S62">
        <v>35.76661395</v>
      </c>
      <c r="T62">
        <v>34.763700419999999</v>
      </c>
      <c r="U62">
        <v>47.624799920000001</v>
      </c>
      <c r="V62">
        <v>42.644982929999998</v>
      </c>
      <c r="W62">
        <v>40.154321639999999</v>
      </c>
      <c r="X62">
        <v>32.960703520000003</v>
      </c>
      <c r="Y62">
        <v>35.82311129</v>
      </c>
      <c r="Z62">
        <v>35.483328870000001</v>
      </c>
      <c r="AA62">
        <v>44.491634929999996</v>
      </c>
    </row>
    <row r="63" spans="2:27" x14ac:dyDescent="0.2">
      <c r="B63">
        <v>36.666699999999999</v>
      </c>
      <c r="C63">
        <v>45.640999999999998</v>
      </c>
      <c r="D63">
        <v>74.885021159999994</v>
      </c>
      <c r="E63">
        <v>25.41660632</v>
      </c>
      <c r="F63">
        <v>37.019351290000003</v>
      </c>
      <c r="G63">
        <v>50.492666700000001</v>
      </c>
      <c r="H63">
        <v>30.44965384</v>
      </c>
      <c r="I63">
        <v>44.995123</v>
      </c>
      <c r="J63">
        <v>50.649221150000002</v>
      </c>
      <c r="K63">
        <v>37.483790740000003</v>
      </c>
      <c r="L63">
        <v>28.704449230000002</v>
      </c>
      <c r="M63">
        <v>61.777525400000002</v>
      </c>
      <c r="N63">
        <v>43.919387309999998</v>
      </c>
      <c r="O63">
        <v>27.79784459</v>
      </c>
      <c r="P63">
        <v>27.892658900000001</v>
      </c>
      <c r="Q63">
        <v>50.795281520000003</v>
      </c>
      <c r="R63">
        <v>22.95947898</v>
      </c>
      <c r="S63">
        <v>51.287706790000001</v>
      </c>
      <c r="T63">
        <v>37.026629450000001</v>
      </c>
      <c r="U63">
        <v>44.46229305</v>
      </c>
      <c r="V63">
        <v>47.225025270000003</v>
      </c>
      <c r="W63">
        <v>44.575646620000001</v>
      </c>
      <c r="X63">
        <v>35.404736239999998</v>
      </c>
      <c r="Y63">
        <v>31.939162199999998</v>
      </c>
      <c r="Z63">
        <v>33.234910429999999</v>
      </c>
      <c r="AA63">
        <v>38.502483720000001</v>
      </c>
    </row>
    <row r="64" spans="2:27" x14ac:dyDescent="0.2">
      <c r="B64">
        <v>38.205100000000002</v>
      </c>
      <c r="C64">
        <v>49.102600000000002</v>
      </c>
      <c r="D64">
        <v>66.454903659999999</v>
      </c>
      <c r="E64">
        <v>19.836628650000002</v>
      </c>
      <c r="F64">
        <v>41.417115279999997</v>
      </c>
      <c r="G64">
        <v>50.469773420000003</v>
      </c>
      <c r="H64">
        <v>30.485994219999998</v>
      </c>
      <c r="I64">
        <v>47.347946469999997</v>
      </c>
      <c r="J64">
        <v>52.131901939999999</v>
      </c>
      <c r="K64">
        <v>39.364602079999997</v>
      </c>
      <c r="L64">
        <v>31.7086629</v>
      </c>
      <c r="M64">
        <v>58.837754369999999</v>
      </c>
      <c r="N64">
        <v>44.416401110000002</v>
      </c>
      <c r="O64">
        <v>28.947692329999999</v>
      </c>
      <c r="P64">
        <v>52.797732940000003</v>
      </c>
      <c r="Q64">
        <v>50.686037089999999</v>
      </c>
      <c r="R64">
        <v>25.58605524</v>
      </c>
      <c r="S64">
        <v>60.846583359999997</v>
      </c>
      <c r="T64">
        <v>36.455569529999998</v>
      </c>
      <c r="U64">
        <v>40.791843030000003</v>
      </c>
      <c r="V64">
        <v>48.392363000000003</v>
      </c>
      <c r="W64">
        <v>50.331528560000002</v>
      </c>
      <c r="X64">
        <v>51.64222642</v>
      </c>
      <c r="Y64">
        <v>50.838340680000002</v>
      </c>
      <c r="Z64">
        <v>35.439943620000001</v>
      </c>
      <c r="AA64">
        <v>47.797517689999999</v>
      </c>
    </row>
    <row r="65" spans="2:27" x14ac:dyDescent="0.2">
      <c r="B65">
        <v>29.743600000000001</v>
      </c>
      <c r="C65">
        <v>36.025599999999997</v>
      </c>
      <c r="D65">
        <v>77.317802099999994</v>
      </c>
      <c r="E65">
        <v>48.398346439999997</v>
      </c>
      <c r="F65">
        <v>22.817107480000001</v>
      </c>
      <c r="G65">
        <v>30.436040340000002</v>
      </c>
      <c r="H65">
        <v>30.50207679</v>
      </c>
      <c r="I65">
        <v>36.441212919999998</v>
      </c>
      <c r="J65">
        <v>39.797271270000003</v>
      </c>
      <c r="K65">
        <v>16.083549649999998</v>
      </c>
      <c r="L65">
        <v>42.811711469999999</v>
      </c>
      <c r="M65">
        <v>30.020448420000001</v>
      </c>
      <c r="N65">
        <v>28.037602769999999</v>
      </c>
      <c r="O65">
        <v>26.80382436</v>
      </c>
      <c r="P65">
        <v>27.58063881</v>
      </c>
      <c r="Q65">
        <v>51.524761259999998</v>
      </c>
      <c r="R65">
        <v>26.314310070000001</v>
      </c>
      <c r="S65">
        <v>33.2971681</v>
      </c>
      <c r="T65">
        <v>35.537664210000003</v>
      </c>
      <c r="U65">
        <v>48.729386869999999</v>
      </c>
      <c r="V65">
        <v>27.245193199999999</v>
      </c>
      <c r="W65">
        <v>29.81950745</v>
      </c>
      <c r="X65">
        <v>34.207620839999997</v>
      </c>
      <c r="Y65">
        <v>33.593805439999997</v>
      </c>
      <c r="Z65">
        <v>33.873509519999999</v>
      </c>
      <c r="AA65">
        <v>37.056028449999999</v>
      </c>
    </row>
    <row r="66" spans="2:27" x14ac:dyDescent="0.2">
      <c r="B66">
        <v>29.743600000000001</v>
      </c>
      <c r="C66">
        <v>32.179499999999997</v>
      </c>
      <c r="D66">
        <v>58.912460320000001</v>
      </c>
      <c r="E66">
        <v>75.667756220000001</v>
      </c>
      <c r="F66">
        <v>34.800701459999999</v>
      </c>
      <c r="G66">
        <v>30.497931390000002</v>
      </c>
      <c r="H66">
        <v>30.47805889</v>
      </c>
      <c r="I66">
        <v>28.02058049</v>
      </c>
      <c r="J66">
        <v>43.549881480000003</v>
      </c>
      <c r="K66">
        <v>24.307210940000001</v>
      </c>
      <c r="L66">
        <v>43.300614889999999</v>
      </c>
      <c r="M66">
        <v>31.5264262</v>
      </c>
      <c r="N66">
        <v>31.689576129999999</v>
      </c>
      <c r="O66">
        <v>26.666400209999999</v>
      </c>
      <c r="P66">
        <v>26.491398530000001</v>
      </c>
      <c r="Q66">
        <v>17.405390969999999</v>
      </c>
      <c r="R66">
        <v>33.037301249999999</v>
      </c>
      <c r="S66">
        <v>24.56446249</v>
      </c>
      <c r="T66">
        <v>20.40894789</v>
      </c>
      <c r="U66">
        <v>32.203030419999997</v>
      </c>
      <c r="V66">
        <v>30.404314339999999</v>
      </c>
      <c r="W66">
        <v>29.079539919999998</v>
      </c>
      <c r="X66">
        <v>36.523489220000002</v>
      </c>
      <c r="Y66">
        <v>35.671048390000003</v>
      </c>
      <c r="Z66">
        <v>28.564137800000001</v>
      </c>
      <c r="AA66">
        <v>34.626399720000002</v>
      </c>
    </row>
    <row r="67" spans="2:27" x14ac:dyDescent="0.2">
      <c r="B67">
        <v>30</v>
      </c>
      <c r="C67">
        <v>29.102599999999999</v>
      </c>
      <c r="D67">
        <v>57.617447820000002</v>
      </c>
      <c r="E67">
        <v>8.1948006029999991</v>
      </c>
      <c r="F67">
        <v>27.891889800000001</v>
      </c>
      <c r="G67">
        <v>30.484970260000001</v>
      </c>
      <c r="H67">
        <v>30.50116088</v>
      </c>
      <c r="I67">
        <v>38.314138560000004</v>
      </c>
      <c r="J67">
        <v>36.714663340000001</v>
      </c>
      <c r="K67">
        <v>17.381809860000001</v>
      </c>
      <c r="L67">
        <v>40.398632910000003</v>
      </c>
      <c r="M67">
        <v>16.347008379999998</v>
      </c>
      <c r="N67">
        <v>27.279612849999999</v>
      </c>
      <c r="O67">
        <v>19.25728097</v>
      </c>
      <c r="P67">
        <v>25.985317819999999</v>
      </c>
      <c r="Q67">
        <v>17.203722129999999</v>
      </c>
      <c r="R67">
        <v>36.468889480000001</v>
      </c>
      <c r="S67">
        <v>21.876114470000001</v>
      </c>
      <c r="T67">
        <v>23.495710469999999</v>
      </c>
      <c r="U67">
        <v>25.322468149999999</v>
      </c>
      <c r="V67">
        <v>30.080799290000002</v>
      </c>
      <c r="W67">
        <v>27.588025519999999</v>
      </c>
      <c r="X67">
        <v>28.419202129999999</v>
      </c>
      <c r="Y67">
        <v>21.315748249999999</v>
      </c>
      <c r="Z67">
        <v>31.31954867</v>
      </c>
      <c r="AA67">
        <v>31.66399053</v>
      </c>
    </row>
    <row r="68" spans="2:27" x14ac:dyDescent="0.2">
      <c r="B68">
        <v>32.051299999999998</v>
      </c>
      <c r="C68">
        <v>26.794899999999998</v>
      </c>
      <c r="D68">
        <v>76.088225800000004</v>
      </c>
      <c r="E68">
        <v>59.67993002</v>
      </c>
      <c r="F68">
        <v>32.870639160000003</v>
      </c>
      <c r="G68">
        <v>30.502341749999999</v>
      </c>
      <c r="H68">
        <v>30.504773019999998</v>
      </c>
      <c r="I68">
        <v>26.416625669999998</v>
      </c>
      <c r="J68">
        <v>37.224610130000002</v>
      </c>
      <c r="K68">
        <v>17.980064479999999</v>
      </c>
      <c r="L68">
        <v>40.435691579999997</v>
      </c>
      <c r="M68">
        <v>20.232670679999998</v>
      </c>
      <c r="N68">
        <v>31.221878360000002</v>
      </c>
      <c r="O68">
        <v>26.44085578</v>
      </c>
      <c r="P68">
        <v>26.20141928</v>
      </c>
      <c r="Q68">
        <v>17.093823910000001</v>
      </c>
      <c r="R68">
        <v>26.513553099999999</v>
      </c>
      <c r="S68">
        <v>32.918749820000002</v>
      </c>
      <c r="T68">
        <v>29.55754336</v>
      </c>
      <c r="U68">
        <v>21.364777459999999</v>
      </c>
      <c r="V68">
        <v>33.98063397</v>
      </c>
      <c r="W68">
        <v>35.033058150000002</v>
      </c>
      <c r="X68">
        <v>26.160496940000002</v>
      </c>
      <c r="Y68">
        <v>23.042231470000001</v>
      </c>
      <c r="Z68">
        <v>30.79617438</v>
      </c>
      <c r="AA68">
        <v>23.519034359999999</v>
      </c>
    </row>
    <row r="69" spans="2:27" x14ac:dyDescent="0.2">
      <c r="B69">
        <v>35.897399999999998</v>
      </c>
      <c r="C69">
        <v>25.256399999999999</v>
      </c>
      <c r="D69">
        <v>57.466050549999999</v>
      </c>
      <c r="E69">
        <v>1.5044181750000001</v>
      </c>
      <c r="F69">
        <v>37.79404941</v>
      </c>
      <c r="G69">
        <v>30.492638339999999</v>
      </c>
      <c r="H69">
        <v>30.50911533</v>
      </c>
      <c r="I69">
        <v>22.82554712</v>
      </c>
      <c r="J69">
        <v>40.512447850000001</v>
      </c>
      <c r="K69">
        <v>22.96221457</v>
      </c>
      <c r="L69">
        <v>40.936546669999998</v>
      </c>
      <c r="M69">
        <v>16.913004839999999</v>
      </c>
      <c r="N69">
        <v>33.545805100000003</v>
      </c>
      <c r="O69">
        <v>20.080708099999999</v>
      </c>
      <c r="P69">
        <v>25.857569470000001</v>
      </c>
      <c r="Q69">
        <v>17.11384266</v>
      </c>
      <c r="R69">
        <v>36.027091210000002</v>
      </c>
      <c r="S69">
        <v>22.195438540000001</v>
      </c>
      <c r="T69">
        <v>33.008233910000001</v>
      </c>
      <c r="U69">
        <v>15.98507146</v>
      </c>
      <c r="V69">
        <v>34.250611759999998</v>
      </c>
      <c r="W69">
        <v>34.441586569999998</v>
      </c>
      <c r="X69">
        <v>40.435327399999998</v>
      </c>
      <c r="Y69">
        <v>27.64007114</v>
      </c>
      <c r="Z69">
        <v>34.233355430000003</v>
      </c>
      <c r="AA69">
        <v>22.495911599999999</v>
      </c>
    </row>
    <row r="70" spans="2:27" x14ac:dyDescent="0.2">
      <c r="B70">
        <v>41.025599999999997</v>
      </c>
      <c r="C70">
        <v>25.256399999999999</v>
      </c>
      <c r="D70">
        <v>79.428383490000002</v>
      </c>
      <c r="E70">
        <v>45.210794290000003</v>
      </c>
      <c r="F70">
        <v>35.667316300000003</v>
      </c>
      <c r="G70">
        <v>30.52203505</v>
      </c>
      <c r="H70">
        <v>50.115632169999998</v>
      </c>
      <c r="I70">
        <v>16.694006550000001</v>
      </c>
      <c r="J70">
        <v>40.222062790000003</v>
      </c>
      <c r="K70">
        <v>20.614621700000001</v>
      </c>
      <c r="L70">
        <v>39.661573670000003</v>
      </c>
      <c r="M70">
        <v>15.609355580000001</v>
      </c>
      <c r="N70">
        <v>39.736330610000003</v>
      </c>
      <c r="O70">
        <v>23.49480698</v>
      </c>
      <c r="P70">
        <v>50.704684360000002</v>
      </c>
      <c r="Q70">
        <v>17.023744539999999</v>
      </c>
      <c r="R70">
        <v>42.681040410000001</v>
      </c>
      <c r="S70">
        <v>18.542536200000001</v>
      </c>
      <c r="T70">
        <v>53.980399179999999</v>
      </c>
      <c r="U70">
        <v>29.350986710000001</v>
      </c>
      <c r="V70">
        <v>51.141183570000003</v>
      </c>
      <c r="W70">
        <v>20.618323780000001</v>
      </c>
      <c r="X70">
        <v>44.544955309999999</v>
      </c>
      <c r="Y70">
        <v>27.36224262</v>
      </c>
      <c r="Z70">
        <v>36.63078771</v>
      </c>
      <c r="AA70">
        <v>31.476831260000001</v>
      </c>
    </row>
    <row r="71" spans="2:27" x14ac:dyDescent="0.2">
      <c r="B71">
        <v>44.102600000000002</v>
      </c>
      <c r="C71">
        <v>25.640999999999998</v>
      </c>
      <c r="D71">
        <v>76.356522150000004</v>
      </c>
      <c r="E71">
        <v>10.41824113</v>
      </c>
      <c r="F71">
        <v>48.442299499999997</v>
      </c>
      <c r="G71">
        <v>30.501722780000001</v>
      </c>
      <c r="H71">
        <v>50.44830134</v>
      </c>
      <c r="I71">
        <v>21.64025646</v>
      </c>
      <c r="J71">
        <v>44.124961210000002</v>
      </c>
      <c r="K71">
        <v>23.366245289999998</v>
      </c>
      <c r="L71">
        <v>40.899259180000001</v>
      </c>
      <c r="M71">
        <v>20.798528950000001</v>
      </c>
      <c r="N71">
        <v>42.841842649999997</v>
      </c>
      <c r="O71">
        <v>20.333900440000001</v>
      </c>
      <c r="P71">
        <v>50.811975349999997</v>
      </c>
      <c r="Q71">
        <v>17.11492526</v>
      </c>
      <c r="R71">
        <v>45.041077129999998</v>
      </c>
      <c r="S71">
        <v>17.73451773</v>
      </c>
      <c r="T71">
        <v>52.234308599999999</v>
      </c>
      <c r="U71">
        <v>29.71167299</v>
      </c>
      <c r="V71">
        <v>49.899592069999997</v>
      </c>
      <c r="W71">
        <v>19.564083539999999</v>
      </c>
      <c r="X71">
        <v>40.123727199999998</v>
      </c>
      <c r="Y71">
        <v>30.073161939999999</v>
      </c>
      <c r="Z71">
        <v>34.548619100000003</v>
      </c>
      <c r="AA71">
        <v>26.111087869999999</v>
      </c>
    </row>
    <row r="72" spans="2:27" x14ac:dyDescent="0.2">
      <c r="B72">
        <v>47.179499999999997</v>
      </c>
      <c r="C72">
        <v>28.718</v>
      </c>
      <c r="D72">
        <v>64.405075260000004</v>
      </c>
      <c r="E72">
        <v>78.584176080000006</v>
      </c>
      <c r="F72">
        <v>58.66937326</v>
      </c>
      <c r="G72">
        <v>30.50683789</v>
      </c>
      <c r="H72">
        <v>50.173177430000003</v>
      </c>
      <c r="I72">
        <v>29.17786439</v>
      </c>
      <c r="J72">
        <v>42.346261599999998</v>
      </c>
      <c r="K72">
        <v>24.558326940000001</v>
      </c>
      <c r="L72">
        <v>41.968616830000002</v>
      </c>
      <c r="M72">
        <v>26.497072599999999</v>
      </c>
      <c r="N72">
        <v>47.093729889999999</v>
      </c>
      <c r="O72">
        <v>26.993470630000001</v>
      </c>
      <c r="P72">
        <v>50.564845560000002</v>
      </c>
      <c r="Q72">
        <v>17.077777319999999</v>
      </c>
      <c r="R72">
        <v>47.352416460000001</v>
      </c>
      <c r="S72">
        <v>17.134745429999999</v>
      </c>
      <c r="T72">
        <v>59.503076610000001</v>
      </c>
      <c r="U72">
        <v>30.669673939999999</v>
      </c>
      <c r="V72">
        <v>55.589877340000001</v>
      </c>
      <c r="W72">
        <v>26.299245110000001</v>
      </c>
      <c r="X72">
        <v>42.184806450000004</v>
      </c>
      <c r="Y72">
        <v>28.57367473</v>
      </c>
      <c r="Z72">
        <v>37.519635600000001</v>
      </c>
      <c r="AA72">
        <v>29.267605889999999</v>
      </c>
    </row>
    <row r="73" spans="2:27" x14ac:dyDescent="0.2">
      <c r="B73">
        <v>49.487200000000001</v>
      </c>
      <c r="C73">
        <v>31.410299999999999</v>
      </c>
      <c r="D73">
        <v>40.635041809999997</v>
      </c>
      <c r="E73">
        <v>73.394750369999997</v>
      </c>
      <c r="F73">
        <v>47.916955440000002</v>
      </c>
      <c r="G73">
        <v>30.486725750000002</v>
      </c>
      <c r="H73">
        <v>49.92274192</v>
      </c>
      <c r="I73">
        <v>38.440472909999997</v>
      </c>
      <c r="J73">
        <v>44.189084370000003</v>
      </c>
      <c r="K73">
        <v>28.772625470000001</v>
      </c>
      <c r="L73">
        <v>40.38340582</v>
      </c>
      <c r="M73">
        <v>21.391225519999999</v>
      </c>
      <c r="N73">
        <v>51.453658349999998</v>
      </c>
      <c r="O73">
        <v>26.022941750000001</v>
      </c>
      <c r="P73">
        <v>50.93930391</v>
      </c>
      <c r="Q73">
        <v>16.98102188</v>
      </c>
      <c r="R73">
        <v>53.846194029999999</v>
      </c>
      <c r="S73">
        <v>16.387318100000002</v>
      </c>
      <c r="T73">
        <v>41.163781069999999</v>
      </c>
      <c r="U73">
        <v>34.315758250000002</v>
      </c>
      <c r="V73">
        <v>55.482056360000001</v>
      </c>
      <c r="W73">
        <v>22.82746624</v>
      </c>
      <c r="X73">
        <v>40.002659289999997</v>
      </c>
      <c r="Y73">
        <v>27.48751</v>
      </c>
      <c r="Z73">
        <v>62.425697329999998</v>
      </c>
      <c r="AA73">
        <v>34.044206269999997</v>
      </c>
    </row>
    <row r="74" spans="2:27" x14ac:dyDescent="0.2">
      <c r="B74">
        <v>51.538499999999999</v>
      </c>
      <c r="C74">
        <v>34.8718</v>
      </c>
      <c r="D74">
        <v>43.949864589999997</v>
      </c>
      <c r="E74">
        <v>75.958715670000004</v>
      </c>
      <c r="F74">
        <v>51.894166390000002</v>
      </c>
      <c r="G74">
        <v>30.494755680000001</v>
      </c>
      <c r="H74">
        <v>50.31129937</v>
      </c>
      <c r="I74">
        <v>26.860488270000001</v>
      </c>
      <c r="J74">
        <v>45.814245309999997</v>
      </c>
      <c r="K74">
        <v>31.05697967</v>
      </c>
      <c r="L74">
        <v>56.53812645</v>
      </c>
      <c r="M74">
        <v>32.444245469999998</v>
      </c>
      <c r="N74">
        <v>49.367706820000002</v>
      </c>
      <c r="O74">
        <v>22.005580699999999</v>
      </c>
      <c r="P74">
        <v>50.458854840000001</v>
      </c>
      <c r="Q74">
        <v>17.03857897</v>
      </c>
      <c r="R74">
        <v>55.12963938</v>
      </c>
      <c r="S74">
        <v>16.35324687</v>
      </c>
      <c r="T74">
        <v>48.993040120000003</v>
      </c>
      <c r="U74">
        <v>32.030358839999998</v>
      </c>
      <c r="V74">
        <v>63.572939380000001</v>
      </c>
      <c r="W74">
        <v>32.938617610000001</v>
      </c>
      <c r="X74">
        <v>57.125231049999996</v>
      </c>
      <c r="Y74">
        <v>42.739019140000003</v>
      </c>
      <c r="Z74">
        <v>64.320383789999994</v>
      </c>
      <c r="AA74">
        <v>31.785629480000001</v>
      </c>
    </row>
    <row r="75" spans="2:27" x14ac:dyDescent="0.2">
      <c r="B75">
        <v>53.589700000000001</v>
      </c>
      <c r="C75">
        <v>37.564100000000003</v>
      </c>
      <c r="D75">
        <v>30.996220579999999</v>
      </c>
      <c r="E75">
        <v>71.694404939999998</v>
      </c>
      <c r="F75">
        <v>51.749089159999997</v>
      </c>
      <c r="G75">
        <v>30.472993339999999</v>
      </c>
      <c r="H75">
        <v>50.399409609999999</v>
      </c>
      <c r="I75">
        <v>38.963838920000001</v>
      </c>
      <c r="J75">
        <v>46.64311927</v>
      </c>
      <c r="K75">
        <v>31.407219059999999</v>
      </c>
      <c r="L75">
        <v>52.970691279999997</v>
      </c>
      <c r="M75">
        <v>29.040196689999998</v>
      </c>
      <c r="N75">
        <v>48.253480969999998</v>
      </c>
      <c r="O75">
        <v>29.270855529999999</v>
      </c>
      <c r="P75">
        <v>52.90136407</v>
      </c>
      <c r="Q75">
        <v>50.690562720000003</v>
      </c>
      <c r="R75">
        <v>52.188119960000002</v>
      </c>
      <c r="S75">
        <v>16.418217469999998</v>
      </c>
      <c r="T75">
        <v>59.26928032</v>
      </c>
      <c r="U75">
        <v>29.64070177</v>
      </c>
      <c r="V75">
        <v>59.025077080000003</v>
      </c>
      <c r="W75">
        <v>28.322085879999999</v>
      </c>
      <c r="X75">
        <v>60.37574497</v>
      </c>
      <c r="Y75">
        <v>41.356458000000003</v>
      </c>
      <c r="Z75">
        <v>65.445532510000007</v>
      </c>
      <c r="AA75">
        <v>43.273499190000003</v>
      </c>
    </row>
    <row r="76" spans="2:27" x14ac:dyDescent="0.2">
      <c r="B76">
        <v>55.1282</v>
      </c>
      <c r="C76">
        <v>40.640999999999998</v>
      </c>
      <c r="D76">
        <v>68.230768990000001</v>
      </c>
      <c r="E76">
        <v>80.872501659999998</v>
      </c>
      <c r="F76">
        <v>58.246552999999999</v>
      </c>
      <c r="G76">
        <v>50.442874490000001</v>
      </c>
      <c r="H76">
        <v>50.337362640000002</v>
      </c>
      <c r="I76">
        <v>40.91338614</v>
      </c>
      <c r="J76">
        <v>52.1898883</v>
      </c>
      <c r="K76">
        <v>39.367796490000003</v>
      </c>
      <c r="L76">
        <v>54.620952590000002</v>
      </c>
      <c r="M76">
        <v>30.344524450000002</v>
      </c>
      <c r="N76">
        <v>61.002959760000003</v>
      </c>
      <c r="O76">
        <v>30.01531443</v>
      </c>
      <c r="P76">
        <v>52.684953440000001</v>
      </c>
      <c r="Q76">
        <v>51.294469220000003</v>
      </c>
      <c r="R76">
        <v>58.67266308</v>
      </c>
      <c r="S76">
        <v>16.663372429999999</v>
      </c>
      <c r="T76">
        <v>45.469177000000002</v>
      </c>
      <c r="U76">
        <v>33.831192729999998</v>
      </c>
      <c r="V76">
        <v>62.423778589999998</v>
      </c>
      <c r="W76">
        <v>33.486595289999997</v>
      </c>
      <c r="X76">
        <v>55.105896129999998</v>
      </c>
      <c r="Y76">
        <v>46.149051059999998</v>
      </c>
      <c r="Z76">
        <v>64.32563159</v>
      </c>
      <c r="AA76">
        <v>41.615976379999999</v>
      </c>
    </row>
    <row r="77" spans="2:27" x14ac:dyDescent="0.2">
      <c r="B77">
        <v>56.666699999999999</v>
      </c>
      <c r="C77">
        <v>42.179499999999997</v>
      </c>
      <c r="D77">
        <v>72.04638946</v>
      </c>
      <c r="E77">
        <v>12.91800673</v>
      </c>
      <c r="F77">
        <v>57.310696870000001</v>
      </c>
      <c r="G77">
        <v>50.48251329</v>
      </c>
      <c r="H77">
        <v>50.202318099999999</v>
      </c>
      <c r="I77">
        <v>47.212947999999997</v>
      </c>
      <c r="J77">
        <v>51.100317359999998</v>
      </c>
      <c r="K77">
        <v>38.095699979999999</v>
      </c>
      <c r="L77">
        <v>65.099044390000003</v>
      </c>
      <c r="M77">
        <v>27.24155756</v>
      </c>
      <c r="N77">
        <v>60.8065608</v>
      </c>
      <c r="O77">
        <v>27.868313489999998</v>
      </c>
      <c r="P77">
        <v>52.500088939999998</v>
      </c>
      <c r="Q77">
        <v>51.594356169999998</v>
      </c>
      <c r="R77">
        <v>82.144311599999995</v>
      </c>
      <c r="S77">
        <v>33.195221869999997</v>
      </c>
      <c r="T77">
        <v>62.691266540000001</v>
      </c>
      <c r="U77">
        <v>30.29037383</v>
      </c>
      <c r="V77">
        <v>47.849907700000003</v>
      </c>
      <c r="W77">
        <v>48.556624650000003</v>
      </c>
      <c r="X77">
        <v>61.737271020000001</v>
      </c>
      <c r="Y77">
        <v>38.584844009999998</v>
      </c>
      <c r="Z77">
        <v>65.264338199999997</v>
      </c>
      <c r="AA77">
        <v>35.717544779999997</v>
      </c>
    </row>
    <row r="78" spans="2:27" x14ac:dyDescent="0.2">
      <c r="B78">
        <v>59.230800000000002</v>
      </c>
      <c r="C78">
        <v>44.487200000000001</v>
      </c>
      <c r="D78">
        <v>46.592767969999997</v>
      </c>
      <c r="E78">
        <v>84.972382780000004</v>
      </c>
      <c r="F78">
        <v>67.968048109999998</v>
      </c>
      <c r="G78">
        <v>50.452158910000001</v>
      </c>
      <c r="H78">
        <v>50.27493261</v>
      </c>
      <c r="I78">
        <v>49.623499340000002</v>
      </c>
      <c r="J78">
        <v>65.400834149999994</v>
      </c>
      <c r="K78">
        <v>42.614032039999998</v>
      </c>
      <c r="L78">
        <v>63.055990909999998</v>
      </c>
      <c r="M78">
        <v>29.70909567</v>
      </c>
      <c r="N78">
        <v>59.067427019999997</v>
      </c>
      <c r="O78">
        <v>26.788284019999999</v>
      </c>
      <c r="P78">
        <v>51.835637259999999</v>
      </c>
      <c r="Q78">
        <v>52.335765530000003</v>
      </c>
      <c r="R78">
        <v>75.686571139999998</v>
      </c>
      <c r="S78">
        <v>24.741510389999998</v>
      </c>
      <c r="T78">
        <v>73.428670870000005</v>
      </c>
      <c r="U78">
        <v>48.577855130000003</v>
      </c>
      <c r="V78">
        <v>52.268561679999998</v>
      </c>
      <c r="W78">
        <v>52.8052402</v>
      </c>
      <c r="X78">
        <v>55.74124432</v>
      </c>
      <c r="Y78">
        <v>46.653576979999997</v>
      </c>
      <c r="Z78">
        <v>66.388704180000005</v>
      </c>
      <c r="AA78">
        <v>38.844744339999998</v>
      </c>
    </row>
    <row r="79" spans="2:27" x14ac:dyDescent="0.2">
      <c r="B79">
        <v>62.307699999999997</v>
      </c>
      <c r="C79">
        <v>46.025599999999997</v>
      </c>
      <c r="D79">
        <v>49.257218340000001</v>
      </c>
      <c r="E79">
        <v>81.881403230000004</v>
      </c>
      <c r="F79">
        <v>65.949319270000004</v>
      </c>
      <c r="G79">
        <v>50.494240789999999</v>
      </c>
      <c r="H79">
        <v>69.494380309999997</v>
      </c>
      <c r="I79">
        <v>52.612410709999999</v>
      </c>
      <c r="J79">
        <v>64.852039829999995</v>
      </c>
      <c r="K79">
        <v>43.133734840000002</v>
      </c>
      <c r="L79">
        <v>70.960136230000003</v>
      </c>
      <c r="M79">
        <v>41.259501290000003</v>
      </c>
      <c r="N79">
        <v>61.414633719999998</v>
      </c>
      <c r="O79">
        <v>31.039375060000001</v>
      </c>
      <c r="P79">
        <v>76.995412099999996</v>
      </c>
      <c r="Q79">
        <v>52.045528650000001</v>
      </c>
      <c r="R79">
        <v>85.344964500000003</v>
      </c>
      <c r="S79">
        <v>52.886419869999997</v>
      </c>
      <c r="T79">
        <v>70.846426109999996</v>
      </c>
      <c r="U79">
        <v>52.282253330000003</v>
      </c>
      <c r="V79">
        <v>68.851021579999994</v>
      </c>
      <c r="W79">
        <v>39.57343427</v>
      </c>
      <c r="X79">
        <v>58.296408419999999</v>
      </c>
      <c r="Y79">
        <v>41.583197730000002</v>
      </c>
      <c r="Z79">
        <v>68.19142282</v>
      </c>
      <c r="AA79">
        <v>45.169486480000003</v>
      </c>
    </row>
    <row r="80" spans="2:27" x14ac:dyDescent="0.2">
      <c r="B80">
        <v>64.871799999999993</v>
      </c>
      <c r="C80">
        <v>46.794899999999998</v>
      </c>
      <c r="D80">
        <v>42.781761250000002</v>
      </c>
      <c r="E80">
        <v>12.991188429999999</v>
      </c>
      <c r="F80">
        <v>55.747092809999998</v>
      </c>
      <c r="G80">
        <v>50.478974800000003</v>
      </c>
      <c r="H80">
        <v>69.519339759999994</v>
      </c>
      <c r="I80">
        <v>47.384533709999999</v>
      </c>
      <c r="J80">
        <v>63.403806009999997</v>
      </c>
      <c r="K80">
        <v>44.84749369</v>
      </c>
      <c r="L80">
        <v>69.895819239999994</v>
      </c>
      <c r="M80">
        <v>43.453759269999999</v>
      </c>
      <c r="N80">
        <v>68.934369469999993</v>
      </c>
      <c r="O80">
        <v>31.619893090000001</v>
      </c>
      <c r="P80">
        <v>77.310600480000005</v>
      </c>
      <c r="Q80">
        <v>51.746730040000003</v>
      </c>
      <c r="R80">
        <v>83.844653510000001</v>
      </c>
      <c r="S80">
        <v>58.616060230000002</v>
      </c>
      <c r="T80">
        <v>71.539019850000003</v>
      </c>
      <c r="U80">
        <v>45.521806159999997</v>
      </c>
      <c r="V80">
        <v>65.676396030000006</v>
      </c>
      <c r="W80">
        <v>35.109315430000002</v>
      </c>
      <c r="X80">
        <v>57.04254822</v>
      </c>
      <c r="Y80">
        <v>42.418757739999997</v>
      </c>
      <c r="Z80">
        <v>68.540662449999999</v>
      </c>
      <c r="AA80">
        <v>48.438526340000003</v>
      </c>
    </row>
    <row r="81" spans="2:27" x14ac:dyDescent="0.2">
      <c r="B81">
        <v>67.948700000000002</v>
      </c>
      <c r="C81">
        <v>47.948700000000002</v>
      </c>
      <c r="D81">
        <v>65.475952199999995</v>
      </c>
      <c r="E81">
        <v>14.27458564</v>
      </c>
      <c r="F81">
        <v>68.403010039999998</v>
      </c>
      <c r="G81">
        <v>50.498627229999997</v>
      </c>
      <c r="H81">
        <v>69.529182610000007</v>
      </c>
      <c r="I81">
        <v>57.841266679999997</v>
      </c>
      <c r="J81">
        <v>65.371548869999998</v>
      </c>
      <c r="K81">
        <v>42.695971319999998</v>
      </c>
      <c r="L81">
        <v>70.595892860000006</v>
      </c>
      <c r="M81">
        <v>41.96474387</v>
      </c>
      <c r="N81">
        <v>63.065243860000002</v>
      </c>
      <c r="O81">
        <v>34.235746589999998</v>
      </c>
      <c r="P81">
        <v>77.926044340000004</v>
      </c>
      <c r="Q81">
        <v>50.31866042</v>
      </c>
      <c r="R81">
        <v>85.664760659999999</v>
      </c>
      <c r="S81">
        <v>45.54275277</v>
      </c>
      <c r="T81">
        <v>67.620865890000005</v>
      </c>
      <c r="U81">
        <v>38.006558470000002</v>
      </c>
      <c r="V81">
        <v>77.746885109999994</v>
      </c>
      <c r="W81">
        <v>47.371824109999999</v>
      </c>
      <c r="X81">
        <v>76.775611209999994</v>
      </c>
      <c r="Y81">
        <v>55.254598700000003</v>
      </c>
      <c r="Z81">
        <v>67.661431269999994</v>
      </c>
      <c r="AA81">
        <v>51.06858459</v>
      </c>
    </row>
    <row r="82" spans="2:27" x14ac:dyDescent="0.2">
      <c r="B82">
        <v>70.512799999999999</v>
      </c>
      <c r="C82">
        <v>53.718000000000004</v>
      </c>
      <c r="D82">
        <v>71.965082649999999</v>
      </c>
      <c r="E82">
        <v>17.71023594</v>
      </c>
      <c r="F82">
        <v>76.696465630000006</v>
      </c>
      <c r="G82">
        <v>50.493830559999999</v>
      </c>
      <c r="H82">
        <v>69.495755500000001</v>
      </c>
      <c r="I82">
        <v>58.785073160000003</v>
      </c>
      <c r="J82">
        <v>61.908039700000003</v>
      </c>
      <c r="K82">
        <v>53.190352070000003</v>
      </c>
      <c r="L82">
        <v>69.647021429999995</v>
      </c>
      <c r="M82">
        <v>44.044445019999998</v>
      </c>
      <c r="N82">
        <v>72.272522870000003</v>
      </c>
      <c r="O82">
        <v>67.644443789999997</v>
      </c>
      <c r="P82">
        <v>77.254388340000006</v>
      </c>
      <c r="Q82">
        <v>51.461824819999997</v>
      </c>
      <c r="R82">
        <v>77.93100493</v>
      </c>
      <c r="S82">
        <v>68.690061880000002</v>
      </c>
      <c r="T82">
        <v>72.470952560000001</v>
      </c>
      <c r="U82">
        <v>51.122134819999999</v>
      </c>
      <c r="V82">
        <v>80.35293412</v>
      </c>
      <c r="W82">
        <v>47.800298890000001</v>
      </c>
      <c r="X82">
        <v>71.887077259999998</v>
      </c>
      <c r="Y82">
        <v>59.266992620000003</v>
      </c>
      <c r="Z82">
        <v>68.675516049999999</v>
      </c>
      <c r="AA82">
        <v>50.465234809999998</v>
      </c>
    </row>
    <row r="83" spans="2:27" x14ac:dyDescent="0.2">
      <c r="B83">
        <v>71.538499999999999</v>
      </c>
      <c r="C83">
        <v>60.640999999999998</v>
      </c>
      <c r="D83">
        <v>32.146462339999999</v>
      </c>
      <c r="E83">
        <v>43.481709440000003</v>
      </c>
      <c r="F83">
        <v>67.214837119999999</v>
      </c>
      <c r="G83">
        <v>70.260028439999999</v>
      </c>
      <c r="H83">
        <v>69.199057710000005</v>
      </c>
      <c r="I83">
        <v>60.418957319999997</v>
      </c>
      <c r="J83">
        <v>71.826652999999993</v>
      </c>
      <c r="K83">
        <v>65.686230359999996</v>
      </c>
      <c r="L83">
        <v>77.392982489999994</v>
      </c>
      <c r="M83">
        <v>63.371459059999999</v>
      </c>
      <c r="N83">
        <v>75.359881970000004</v>
      </c>
      <c r="O83">
        <v>75.421614579999996</v>
      </c>
      <c r="P83">
        <v>76.243157800000006</v>
      </c>
      <c r="Q83">
        <v>52.123689849999998</v>
      </c>
      <c r="R83">
        <v>73.031833019999993</v>
      </c>
      <c r="S83">
        <v>73.120574730000001</v>
      </c>
      <c r="T83">
        <v>64.81223756</v>
      </c>
      <c r="U83">
        <v>62.81091559</v>
      </c>
      <c r="V83">
        <v>60.33758649</v>
      </c>
      <c r="W83">
        <v>63.03495933</v>
      </c>
      <c r="X83">
        <v>73.788373070000006</v>
      </c>
      <c r="Y83">
        <v>58.620812119999997</v>
      </c>
      <c r="Z83">
        <v>69.081709979999999</v>
      </c>
      <c r="AA83">
        <v>55.474053099999999</v>
      </c>
    </row>
    <row r="84" spans="2:27" x14ac:dyDescent="0.2">
      <c r="B84">
        <v>71.538499999999999</v>
      </c>
      <c r="C84">
        <v>64.487200000000001</v>
      </c>
      <c r="D84">
        <v>31.838497700000001</v>
      </c>
      <c r="E84">
        <v>71.812165390000004</v>
      </c>
      <c r="F84">
        <v>72.302005730000005</v>
      </c>
      <c r="G84">
        <v>70.220437380000007</v>
      </c>
      <c r="H84">
        <v>69.551091439999993</v>
      </c>
      <c r="I84">
        <v>58.401098269999999</v>
      </c>
      <c r="J84">
        <v>72.65462316</v>
      </c>
      <c r="K84">
        <v>66.878277609999998</v>
      </c>
      <c r="L84">
        <v>64.400787190000003</v>
      </c>
      <c r="M84">
        <v>67.448718450000001</v>
      </c>
      <c r="N84">
        <v>72.833625870000006</v>
      </c>
      <c r="O84">
        <v>72.114693810000006</v>
      </c>
      <c r="P84">
        <v>77.084484369999998</v>
      </c>
      <c r="Q84">
        <v>51.967136699999998</v>
      </c>
      <c r="R84">
        <v>70.102804500000005</v>
      </c>
      <c r="S84">
        <v>75.683206850000005</v>
      </c>
      <c r="T84">
        <v>60.853679870000001</v>
      </c>
      <c r="U84">
        <v>65.499147030000003</v>
      </c>
      <c r="V84">
        <v>61.658723330000001</v>
      </c>
      <c r="W84">
        <v>64.100023480000004</v>
      </c>
      <c r="X84">
        <v>75.139684729999999</v>
      </c>
      <c r="Y84">
        <v>54.244552179999999</v>
      </c>
      <c r="Z84">
        <v>69.048716490000004</v>
      </c>
      <c r="AA84">
        <v>66.366045749999998</v>
      </c>
    </row>
    <row r="85" spans="2:27" x14ac:dyDescent="0.2">
      <c r="B85">
        <v>69.487200000000001</v>
      </c>
      <c r="C85">
        <v>69.487200000000001</v>
      </c>
      <c r="D85">
        <v>31.005258260000002</v>
      </c>
      <c r="E85">
        <v>40.682503009999998</v>
      </c>
      <c r="F85">
        <v>66.763257390000007</v>
      </c>
      <c r="G85">
        <v>70.473861709999994</v>
      </c>
      <c r="H85">
        <v>69.506684320000005</v>
      </c>
      <c r="I85">
        <v>68.084466789999993</v>
      </c>
      <c r="J85">
        <v>76.888578159999994</v>
      </c>
      <c r="K85">
        <v>72.165472080000001</v>
      </c>
      <c r="L85">
        <v>63.868959830000001</v>
      </c>
      <c r="M85">
        <v>70.213738829999997</v>
      </c>
      <c r="N85">
        <v>70.810414840000007</v>
      </c>
      <c r="O85">
        <v>79.35046183</v>
      </c>
      <c r="P85">
        <v>75.228053200000005</v>
      </c>
      <c r="Q85">
        <v>82.985662020000007</v>
      </c>
      <c r="R85">
        <v>57.144694690000001</v>
      </c>
      <c r="S85">
        <v>79.19410259</v>
      </c>
      <c r="T85">
        <v>67.789496159999999</v>
      </c>
      <c r="U85">
        <v>61.363701550000002</v>
      </c>
      <c r="V85">
        <v>71.545038989999995</v>
      </c>
      <c r="W85">
        <v>72.65771633</v>
      </c>
      <c r="X85">
        <v>64.596318909999994</v>
      </c>
      <c r="Y85">
        <v>65.952512929999997</v>
      </c>
      <c r="Z85">
        <v>67.308223380000001</v>
      </c>
      <c r="AA85">
        <v>71.59029658</v>
      </c>
    </row>
    <row r="86" spans="2:27" x14ac:dyDescent="0.2">
      <c r="B86">
        <v>46.923099999999998</v>
      </c>
      <c r="C86">
        <v>79.871799999999993</v>
      </c>
      <c r="D86">
        <v>80.470894319999999</v>
      </c>
      <c r="E86">
        <v>49.502148349999999</v>
      </c>
      <c r="F86">
        <v>51.680300440000003</v>
      </c>
      <c r="G86">
        <v>89.997027549999999</v>
      </c>
      <c r="H86">
        <v>50.444117550000001</v>
      </c>
      <c r="I86">
        <v>75.013299509999996</v>
      </c>
      <c r="J86">
        <v>43.74461968</v>
      </c>
      <c r="K86">
        <v>71.267961080000006</v>
      </c>
      <c r="L86">
        <v>56.594421320000002</v>
      </c>
      <c r="M86">
        <v>86.927006219999996</v>
      </c>
      <c r="N86">
        <v>45.801934760000002</v>
      </c>
      <c r="O86">
        <v>81.658267749999993</v>
      </c>
      <c r="P86">
        <v>50.658354770000003</v>
      </c>
      <c r="Q86">
        <v>83.114479340000003</v>
      </c>
      <c r="R86">
        <v>46.962461990000001</v>
      </c>
      <c r="S86">
        <v>78.666559000000007</v>
      </c>
      <c r="T86">
        <v>41.609557270000003</v>
      </c>
      <c r="U86">
        <v>83.848686560000004</v>
      </c>
      <c r="V86">
        <v>49.040956639999997</v>
      </c>
      <c r="W86">
        <v>77.362583270000002</v>
      </c>
      <c r="X86">
        <v>46.90953863</v>
      </c>
      <c r="Y86">
        <v>85.602261159999998</v>
      </c>
      <c r="Z86">
        <v>38.714899410000001</v>
      </c>
      <c r="AA86">
        <v>76.396977820000004</v>
      </c>
    </row>
    <row r="87" spans="2:27" x14ac:dyDescent="0.2">
      <c r="B87">
        <v>48.205100000000002</v>
      </c>
      <c r="C87">
        <v>84.102599999999995</v>
      </c>
      <c r="D87">
        <v>71.964167110000005</v>
      </c>
      <c r="E87">
        <v>41.874282669999999</v>
      </c>
      <c r="F87">
        <v>53.096557359999998</v>
      </c>
      <c r="G87">
        <v>89.540243709999999</v>
      </c>
      <c r="H87">
        <v>50.467229379999999</v>
      </c>
      <c r="I87">
        <v>90.281464510000006</v>
      </c>
      <c r="J87">
        <v>39.054248440000002</v>
      </c>
      <c r="K87">
        <v>83.119020699999993</v>
      </c>
      <c r="L87">
        <v>56.531337290000003</v>
      </c>
      <c r="M87">
        <v>87.499811070000007</v>
      </c>
      <c r="N87">
        <v>45.83502017</v>
      </c>
      <c r="O87">
        <v>82.742591989999994</v>
      </c>
      <c r="P87">
        <v>50.203365810000001</v>
      </c>
      <c r="Q87">
        <v>82.982656860000006</v>
      </c>
      <c r="R87">
        <v>50.564933809999999</v>
      </c>
      <c r="S87">
        <v>79.077298549999995</v>
      </c>
      <c r="T87">
        <v>53.003025319999999</v>
      </c>
      <c r="U87">
        <v>84.674798600000003</v>
      </c>
      <c r="V87">
        <v>51.886888020000001</v>
      </c>
      <c r="W87">
        <v>80.113607689999995</v>
      </c>
      <c r="X87">
        <v>46.905103199999999</v>
      </c>
      <c r="Y87">
        <v>81.565642409999995</v>
      </c>
      <c r="Z87">
        <v>35.548094880000001</v>
      </c>
      <c r="AA87">
        <v>89.304975839999997</v>
      </c>
    </row>
    <row r="88" spans="2:27" x14ac:dyDescent="0.2">
      <c r="B88">
        <v>50</v>
      </c>
      <c r="C88">
        <v>85.256399999999999</v>
      </c>
      <c r="D88">
        <v>78.079421440000004</v>
      </c>
      <c r="E88">
        <v>93.133316769999993</v>
      </c>
      <c r="F88">
        <v>42.242292939999999</v>
      </c>
      <c r="G88">
        <v>89.708578590000002</v>
      </c>
      <c r="H88">
        <v>50.210881980000003</v>
      </c>
      <c r="I88">
        <v>80.941771709999998</v>
      </c>
      <c r="J88">
        <v>39.931674630000003</v>
      </c>
      <c r="K88">
        <v>79.939188000000001</v>
      </c>
      <c r="L88">
        <v>59.652158370000002</v>
      </c>
      <c r="M88">
        <v>87.809461589999998</v>
      </c>
      <c r="N88">
        <v>40.078806450000002</v>
      </c>
      <c r="O88">
        <v>80.247185259999995</v>
      </c>
      <c r="P88">
        <v>50.929547700000001</v>
      </c>
      <c r="Q88">
        <v>82.846041130000003</v>
      </c>
      <c r="R88">
        <v>53.719676569999997</v>
      </c>
      <c r="S88">
        <v>79.30693617</v>
      </c>
      <c r="T88">
        <v>54.714171059999998</v>
      </c>
      <c r="U88">
        <v>84.043128069999995</v>
      </c>
      <c r="V88">
        <v>57.96898144</v>
      </c>
      <c r="W88">
        <v>85.356045730000005</v>
      </c>
      <c r="X88">
        <v>49.806987739999997</v>
      </c>
      <c r="Y88">
        <v>82.085025590000001</v>
      </c>
      <c r="Z88">
        <v>36.710672940000002</v>
      </c>
      <c r="AA88">
        <v>86.074967000000001</v>
      </c>
    </row>
    <row r="89" spans="2:27" x14ac:dyDescent="0.2">
      <c r="B89">
        <v>53.076900000000002</v>
      </c>
      <c r="C89">
        <v>85.256399999999999</v>
      </c>
      <c r="D89">
        <v>41.677595770000003</v>
      </c>
      <c r="E89">
        <v>30.201264080000001</v>
      </c>
      <c r="F89">
        <v>56.233875660000002</v>
      </c>
      <c r="G89">
        <v>89.635308159999994</v>
      </c>
      <c r="H89">
        <v>50.205406959999998</v>
      </c>
      <c r="I89">
        <v>90.640535900000003</v>
      </c>
      <c r="J89">
        <v>39.762826109999999</v>
      </c>
      <c r="K89">
        <v>76.405967450000006</v>
      </c>
      <c r="L89">
        <v>56.6365087</v>
      </c>
      <c r="M89">
        <v>85.637495560000005</v>
      </c>
      <c r="N89">
        <v>51.982924699999998</v>
      </c>
      <c r="O89">
        <v>82.204383469999996</v>
      </c>
      <c r="P89">
        <v>50.178671850000001</v>
      </c>
      <c r="Q89">
        <v>83.184622329999996</v>
      </c>
      <c r="R89">
        <v>54.200232319999998</v>
      </c>
      <c r="S89">
        <v>79.325002339999998</v>
      </c>
      <c r="T89">
        <v>44.291668719999997</v>
      </c>
      <c r="U89">
        <v>82.909441209999997</v>
      </c>
      <c r="V89">
        <v>54.855664650000001</v>
      </c>
      <c r="W89">
        <v>83.783397669999999</v>
      </c>
      <c r="X89">
        <v>48.863241819999999</v>
      </c>
      <c r="Y89">
        <v>83.15835749</v>
      </c>
      <c r="Z89">
        <v>64.912662440000005</v>
      </c>
      <c r="AA89">
        <v>87.645796059999995</v>
      </c>
    </row>
    <row r="90" spans="2:27" x14ac:dyDescent="0.2">
      <c r="B90">
        <v>55.384599999999999</v>
      </c>
      <c r="C90">
        <v>86.025599999999997</v>
      </c>
      <c r="D90">
        <v>65.953595190000001</v>
      </c>
      <c r="E90">
        <v>31.14740608</v>
      </c>
      <c r="F90">
        <v>54.680986580000003</v>
      </c>
      <c r="G90">
        <v>89.964599460000002</v>
      </c>
      <c r="H90">
        <v>50.43829066</v>
      </c>
      <c r="I90">
        <v>92.35476027</v>
      </c>
      <c r="J90">
        <v>41.323383290000002</v>
      </c>
      <c r="K90">
        <v>80.211868600000003</v>
      </c>
      <c r="L90">
        <v>58.672288000000002</v>
      </c>
      <c r="M90">
        <v>90.077160309999996</v>
      </c>
      <c r="N90">
        <v>57.337906050000001</v>
      </c>
      <c r="O90">
        <v>84.999518870000003</v>
      </c>
      <c r="P90">
        <v>50.422698060000002</v>
      </c>
      <c r="Q90">
        <v>82.909901469999994</v>
      </c>
      <c r="R90">
        <v>47.875198339999997</v>
      </c>
      <c r="S90">
        <v>78.675853430000004</v>
      </c>
      <c r="T90">
        <v>49.191721960000002</v>
      </c>
      <c r="U90">
        <v>85.876229120000005</v>
      </c>
      <c r="V90">
        <v>54.133195460000003</v>
      </c>
      <c r="W90">
        <v>83.793996079999999</v>
      </c>
      <c r="X90">
        <v>66.7481899</v>
      </c>
      <c r="Y90">
        <v>84.004834169999995</v>
      </c>
      <c r="Z90">
        <v>66.064135739999998</v>
      </c>
      <c r="AA90">
        <v>89.208668579999994</v>
      </c>
    </row>
    <row r="91" spans="2:27" x14ac:dyDescent="0.2">
      <c r="B91">
        <v>56.666699999999999</v>
      </c>
      <c r="C91">
        <v>86.025599999999997</v>
      </c>
      <c r="D91">
        <v>62.934459369999999</v>
      </c>
      <c r="E91">
        <v>31.916390700000001</v>
      </c>
      <c r="F91">
        <v>57.902686610000003</v>
      </c>
      <c r="G91">
        <v>89.618401730000002</v>
      </c>
      <c r="H91">
        <v>50.373518850000004</v>
      </c>
      <c r="I91">
        <v>82.219205720000005</v>
      </c>
      <c r="J91">
        <v>41.787323229999998</v>
      </c>
      <c r="K91">
        <v>83.988077989999994</v>
      </c>
      <c r="L91">
        <v>58.221612729999997</v>
      </c>
      <c r="M91">
        <v>90.411018769999998</v>
      </c>
      <c r="N91">
        <v>62.336232760000001</v>
      </c>
      <c r="O91">
        <v>83.246567900000002</v>
      </c>
      <c r="P91">
        <v>50.464224829999999</v>
      </c>
      <c r="Q91">
        <v>82.935328409999997</v>
      </c>
      <c r="R91">
        <v>51.47345851</v>
      </c>
      <c r="S91">
        <v>79.159867000000006</v>
      </c>
      <c r="T91">
        <v>53.101381779999997</v>
      </c>
      <c r="U91">
        <v>84.547658690000006</v>
      </c>
      <c r="V91">
        <v>51.308825259999999</v>
      </c>
      <c r="W91">
        <v>80.136391160000002</v>
      </c>
      <c r="X91">
        <v>62.359766280000002</v>
      </c>
      <c r="Y91">
        <v>90.243659919999999</v>
      </c>
      <c r="Z91">
        <v>64.935929479999999</v>
      </c>
      <c r="AA91">
        <v>87.072138120000005</v>
      </c>
    </row>
    <row r="92" spans="2:27" x14ac:dyDescent="0.2">
      <c r="B92">
        <v>56.153799999999997</v>
      </c>
      <c r="C92">
        <v>82.948700000000002</v>
      </c>
      <c r="D92">
        <v>64.373797980000006</v>
      </c>
      <c r="E92">
        <v>28.862583409999999</v>
      </c>
      <c r="F92">
        <v>51.820262550000002</v>
      </c>
      <c r="G92">
        <v>89.834130400000006</v>
      </c>
      <c r="H92">
        <v>50.253683690000003</v>
      </c>
      <c r="I92">
        <v>81.743828719999996</v>
      </c>
      <c r="J92">
        <v>39.755649069999997</v>
      </c>
      <c r="K92">
        <v>79.657096640000006</v>
      </c>
      <c r="L92">
        <v>57.914664479999999</v>
      </c>
      <c r="M92">
        <v>89.953802769999996</v>
      </c>
      <c r="N92">
        <v>58.50591009</v>
      </c>
      <c r="O92">
        <v>81.745586340000003</v>
      </c>
      <c r="P92">
        <v>50.449270329999997</v>
      </c>
      <c r="Q92">
        <v>83.969920380000005</v>
      </c>
      <c r="R92">
        <v>52.751222220000002</v>
      </c>
      <c r="S92">
        <v>79.293659930000004</v>
      </c>
      <c r="T92">
        <v>51.59984815</v>
      </c>
      <c r="U92">
        <v>84.819821489999995</v>
      </c>
      <c r="V92">
        <v>61.12039438</v>
      </c>
      <c r="W92">
        <v>88.704052910000001</v>
      </c>
      <c r="X92">
        <v>47.374896499999998</v>
      </c>
      <c r="Y92">
        <v>83.471555519999995</v>
      </c>
      <c r="Z92">
        <v>67.026550709999995</v>
      </c>
      <c r="AA92">
        <v>76.222515329999993</v>
      </c>
    </row>
    <row r="93" spans="2:27" x14ac:dyDescent="0.2">
      <c r="B93">
        <v>53.846200000000003</v>
      </c>
      <c r="C93">
        <v>80.641000000000005</v>
      </c>
      <c r="D93">
        <v>72.509328359999998</v>
      </c>
      <c r="E93">
        <v>39.540130249999997</v>
      </c>
      <c r="F93">
        <v>56.82839534</v>
      </c>
      <c r="G93">
        <v>89.583664729999995</v>
      </c>
      <c r="H93">
        <v>50.25047086</v>
      </c>
      <c r="I93">
        <v>71.951385209999998</v>
      </c>
      <c r="J93">
        <v>40.749879399999998</v>
      </c>
      <c r="K93">
        <v>77.20465729</v>
      </c>
      <c r="L93">
        <v>55.315509059999997</v>
      </c>
      <c r="M93">
        <v>80.251860690000001</v>
      </c>
      <c r="N93">
        <v>56.247935140000003</v>
      </c>
      <c r="O93">
        <v>83.513949490000002</v>
      </c>
      <c r="P93">
        <v>49.928380279999999</v>
      </c>
      <c r="Q93">
        <v>82.993665489999998</v>
      </c>
      <c r="R93">
        <v>48.562223000000003</v>
      </c>
      <c r="S93">
        <v>78.782383530000004</v>
      </c>
      <c r="T93">
        <v>54.379721949999997</v>
      </c>
      <c r="U93">
        <v>84.240355550000004</v>
      </c>
      <c r="V93">
        <v>55.563865030000002</v>
      </c>
      <c r="W93">
        <v>85.810375140000005</v>
      </c>
      <c r="X93">
        <v>47.446466719999997</v>
      </c>
      <c r="Y93">
        <v>82.622124009999993</v>
      </c>
      <c r="Z93">
        <v>65.314032229999995</v>
      </c>
      <c r="AA93">
        <v>77.938744029999995</v>
      </c>
    </row>
    <row r="94" spans="2:27" x14ac:dyDescent="0.2">
      <c r="B94">
        <v>51.2821</v>
      </c>
      <c r="C94">
        <v>78.718000000000004</v>
      </c>
      <c r="D94">
        <v>30.052289869999999</v>
      </c>
      <c r="E94">
        <v>96.617542349999994</v>
      </c>
      <c r="F94">
        <v>58.272278589999999</v>
      </c>
      <c r="G94">
        <v>69.900272959999995</v>
      </c>
      <c r="H94">
        <v>50.08705836</v>
      </c>
      <c r="I94">
        <v>73.951873629999994</v>
      </c>
      <c r="J94">
        <v>43.8568985</v>
      </c>
      <c r="K94">
        <v>77.609843650000002</v>
      </c>
      <c r="L94">
        <v>54.575728589999997</v>
      </c>
      <c r="M94">
        <v>77.536288470000002</v>
      </c>
      <c r="N94">
        <v>55.406520829999998</v>
      </c>
      <c r="O94">
        <v>80.266671970000004</v>
      </c>
      <c r="P94">
        <v>50.488013639999998</v>
      </c>
      <c r="Q94">
        <v>83.099519119999997</v>
      </c>
      <c r="R94">
        <v>53.081241689999999</v>
      </c>
      <c r="S94">
        <v>79.297250770000005</v>
      </c>
      <c r="T94">
        <v>46.480768099999999</v>
      </c>
      <c r="U94">
        <v>83.518211669999999</v>
      </c>
      <c r="V94">
        <v>55.04412336</v>
      </c>
      <c r="W94">
        <v>83.541410630000001</v>
      </c>
      <c r="X94">
        <v>53.385280629999997</v>
      </c>
      <c r="Y94">
        <v>78.87113626</v>
      </c>
      <c r="Z94">
        <v>64.295217780000002</v>
      </c>
      <c r="AA94">
        <v>84.125857210000007</v>
      </c>
    </row>
    <row r="95" spans="2:27" x14ac:dyDescent="0.2">
      <c r="B95">
        <v>50</v>
      </c>
      <c r="C95">
        <v>78.718000000000004</v>
      </c>
      <c r="D95">
        <v>28.003324240000001</v>
      </c>
      <c r="E95">
        <v>46.672191949999998</v>
      </c>
      <c r="F95">
        <v>51.828127449999997</v>
      </c>
      <c r="G95">
        <v>70.352649209999996</v>
      </c>
      <c r="H95">
        <v>50.231071880000002</v>
      </c>
      <c r="I95">
        <v>80.64738706</v>
      </c>
      <c r="J95">
        <v>42.367822500000003</v>
      </c>
      <c r="K95">
        <v>73.638271829999994</v>
      </c>
      <c r="L95">
        <v>54.41309365</v>
      </c>
      <c r="M95">
        <v>78.229086589999994</v>
      </c>
      <c r="N95">
        <v>53.28396884</v>
      </c>
      <c r="O95">
        <v>84.263599220000003</v>
      </c>
      <c r="P95">
        <v>49.964905379999998</v>
      </c>
      <c r="Q95">
        <v>83.708317699999995</v>
      </c>
      <c r="R95">
        <v>56.475383370000003</v>
      </c>
      <c r="S95">
        <v>79.167840100000006</v>
      </c>
      <c r="T95">
        <v>53.17465627</v>
      </c>
      <c r="U95">
        <v>84.260567989999998</v>
      </c>
      <c r="V95">
        <v>50.444185320000003</v>
      </c>
      <c r="W95">
        <v>78.195888310000001</v>
      </c>
      <c r="X95">
        <v>49.452707770000004</v>
      </c>
      <c r="Y95">
        <v>79.930602800000003</v>
      </c>
      <c r="Z95">
        <v>38.798012139999997</v>
      </c>
      <c r="AA95">
        <v>74.610630430000001</v>
      </c>
    </row>
    <row r="96" spans="2:27" x14ac:dyDescent="0.2">
      <c r="B96">
        <v>47.948700000000002</v>
      </c>
      <c r="C96">
        <v>77.564099999999996</v>
      </c>
      <c r="D96">
        <v>75.401226859999994</v>
      </c>
      <c r="E96">
        <v>88.639076619999997</v>
      </c>
      <c r="F96">
        <v>44.849984259999999</v>
      </c>
      <c r="G96">
        <v>70.39520297</v>
      </c>
      <c r="H96">
        <v>50.207741120000001</v>
      </c>
      <c r="I96">
        <v>73.11450352</v>
      </c>
      <c r="J96">
        <v>39.462959840000003</v>
      </c>
      <c r="K96">
        <v>78.459973899999994</v>
      </c>
      <c r="L96">
        <v>55.074505899999998</v>
      </c>
      <c r="M96">
        <v>79.817546419999999</v>
      </c>
      <c r="N96">
        <v>44.676761550000002</v>
      </c>
      <c r="O96">
        <v>80.238285550000001</v>
      </c>
      <c r="P96">
        <v>50.75210826</v>
      </c>
      <c r="Q96">
        <v>82.901950099999993</v>
      </c>
      <c r="R96">
        <v>49.570911410000001</v>
      </c>
      <c r="S96">
        <v>79.038123880000001</v>
      </c>
      <c r="T96">
        <v>45.27200294</v>
      </c>
      <c r="U96">
        <v>85.237079420000001</v>
      </c>
      <c r="V96">
        <v>43.827708999999999</v>
      </c>
      <c r="W96">
        <v>71.047052210000004</v>
      </c>
      <c r="X96">
        <v>54.802682539999999</v>
      </c>
      <c r="Y96">
        <v>75.363984990000006</v>
      </c>
      <c r="Z96">
        <v>34.675757310000002</v>
      </c>
      <c r="AA96">
        <v>79.637598769999997</v>
      </c>
    </row>
    <row r="97" spans="2:27" x14ac:dyDescent="0.2">
      <c r="B97">
        <v>29.743600000000001</v>
      </c>
      <c r="C97">
        <v>59.8718</v>
      </c>
      <c r="D97">
        <v>38.980015420000001</v>
      </c>
      <c r="E97">
        <v>87.322160690000004</v>
      </c>
      <c r="F97">
        <v>24.270382390000002</v>
      </c>
      <c r="G97">
        <v>50.485567690000003</v>
      </c>
      <c r="H97">
        <v>30.49950617</v>
      </c>
      <c r="I97">
        <v>53.612527669999999</v>
      </c>
      <c r="J97">
        <v>44.517333950000001</v>
      </c>
      <c r="K97">
        <v>70.369349830000004</v>
      </c>
      <c r="L97">
        <v>29.432960520000002</v>
      </c>
      <c r="M97">
        <v>60.801776539999999</v>
      </c>
      <c r="N97">
        <v>30.01126425</v>
      </c>
      <c r="O97">
        <v>68.146756370000006</v>
      </c>
      <c r="P97">
        <v>27.422429210000001</v>
      </c>
      <c r="Q97">
        <v>51.438876229999998</v>
      </c>
      <c r="R97">
        <v>37.6277033</v>
      </c>
      <c r="S97">
        <v>74.557504339999994</v>
      </c>
      <c r="T97">
        <v>36.033402150000001</v>
      </c>
      <c r="U97">
        <v>53.37168776</v>
      </c>
      <c r="V97">
        <v>37.791432380000003</v>
      </c>
      <c r="W97">
        <v>66.854641029999996</v>
      </c>
      <c r="X97">
        <v>37.088245129999997</v>
      </c>
      <c r="Y97">
        <v>60.8572275</v>
      </c>
      <c r="Z97">
        <v>30.719261939999999</v>
      </c>
      <c r="AA97">
        <v>58.812060080000002</v>
      </c>
    </row>
    <row r="98" spans="2:27" x14ac:dyDescent="0.2">
      <c r="B98">
        <v>29.743600000000001</v>
      </c>
      <c r="C98">
        <v>62.179499999999997</v>
      </c>
      <c r="D98">
        <v>65.219913550000001</v>
      </c>
      <c r="E98">
        <v>84.682954929999994</v>
      </c>
      <c r="F98">
        <v>34.742471440000003</v>
      </c>
      <c r="G98">
        <v>70.339934889999995</v>
      </c>
      <c r="H98">
        <v>30.52036124</v>
      </c>
      <c r="I98">
        <v>65.100409069999998</v>
      </c>
      <c r="J98">
        <v>41.636093000000002</v>
      </c>
      <c r="K98">
        <v>76.249222919999994</v>
      </c>
      <c r="L98">
        <v>29.422686070000001</v>
      </c>
      <c r="M98">
        <v>63.068464820000003</v>
      </c>
      <c r="N98">
        <v>29.74525392</v>
      </c>
      <c r="O98">
        <v>74.404526829999995</v>
      </c>
      <c r="P98">
        <v>27.674083400000001</v>
      </c>
      <c r="Q98">
        <v>51.304112150000002</v>
      </c>
      <c r="R98">
        <v>32.26370009</v>
      </c>
      <c r="S98">
        <v>70.316638900000001</v>
      </c>
      <c r="T98">
        <v>28.271194170000001</v>
      </c>
      <c r="U98">
        <v>72.840231259999996</v>
      </c>
      <c r="V98">
        <v>29.292783109999998</v>
      </c>
      <c r="W98">
        <v>59.791996930000003</v>
      </c>
      <c r="X98">
        <v>32.375961920000002</v>
      </c>
      <c r="Y98">
        <v>68.510820460000005</v>
      </c>
      <c r="Z98">
        <v>34.105150930000001</v>
      </c>
      <c r="AA98">
        <v>64.129197230000003</v>
      </c>
    </row>
    <row r="99" spans="2:27" x14ac:dyDescent="0.2">
      <c r="B99">
        <v>31.2821</v>
      </c>
      <c r="C99">
        <v>62.564100000000003</v>
      </c>
      <c r="D99">
        <v>73.053989959999996</v>
      </c>
      <c r="E99">
        <v>29.380808559999998</v>
      </c>
      <c r="F99">
        <v>37.799314930000001</v>
      </c>
      <c r="G99">
        <v>70.469535879999995</v>
      </c>
      <c r="H99">
        <v>30.454955890000001</v>
      </c>
      <c r="I99">
        <v>63.501778780000002</v>
      </c>
      <c r="J99">
        <v>45.422932179999997</v>
      </c>
      <c r="K99">
        <v>69.095501670000004</v>
      </c>
      <c r="L99">
        <v>29.00561416</v>
      </c>
      <c r="M99">
        <v>63.390751330000001</v>
      </c>
      <c r="N99">
        <v>37.309948349999999</v>
      </c>
      <c r="O99">
        <v>72.586155199999993</v>
      </c>
      <c r="P99">
        <v>27.537395320000002</v>
      </c>
      <c r="Q99">
        <v>51.59365408</v>
      </c>
      <c r="R99">
        <v>32.542380340000001</v>
      </c>
      <c r="S99">
        <v>70.702417209999993</v>
      </c>
      <c r="T99">
        <v>25.054806079999999</v>
      </c>
      <c r="U99">
        <v>71.548597920000006</v>
      </c>
      <c r="V99">
        <v>32.19209695</v>
      </c>
      <c r="W99">
        <v>60.20065091</v>
      </c>
      <c r="X99">
        <v>37.477013880000001</v>
      </c>
      <c r="Y99">
        <v>63.788685569999998</v>
      </c>
      <c r="Z99">
        <v>33.423371850000002</v>
      </c>
      <c r="AA99">
        <v>67.09574336</v>
      </c>
    </row>
    <row r="100" spans="2:27" x14ac:dyDescent="0.2">
      <c r="B100">
        <v>57.948700000000002</v>
      </c>
      <c r="C100">
        <v>99.487200000000001</v>
      </c>
      <c r="D100">
        <v>34.398361639999997</v>
      </c>
      <c r="E100">
        <v>59.544446899999997</v>
      </c>
      <c r="F100">
        <v>49.786941059999997</v>
      </c>
      <c r="G100">
        <v>89.658046990000003</v>
      </c>
      <c r="H100">
        <v>50.416477229999998</v>
      </c>
      <c r="I100">
        <v>97.269691960000003</v>
      </c>
      <c r="J100">
        <v>42.002856270000002</v>
      </c>
      <c r="K100">
        <v>97.837614720000005</v>
      </c>
      <c r="L100">
        <v>58.461838589999999</v>
      </c>
      <c r="M100">
        <v>90.265326389999998</v>
      </c>
      <c r="N100">
        <v>61.135946910000001</v>
      </c>
      <c r="O100">
        <v>82.537569360000006</v>
      </c>
      <c r="P100">
        <v>52.263347379999999</v>
      </c>
      <c r="Q100">
        <v>94.249327829999999</v>
      </c>
      <c r="R100">
        <v>52.825017189999997</v>
      </c>
      <c r="S100">
        <v>85.578133879999996</v>
      </c>
      <c r="T100">
        <v>64.758887000000001</v>
      </c>
      <c r="U100">
        <v>82.315223639999999</v>
      </c>
      <c r="V100">
        <v>51.433935519999999</v>
      </c>
      <c r="W100">
        <v>99.256867290000002</v>
      </c>
      <c r="X100">
        <v>52.4066489</v>
      </c>
      <c r="Y100">
        <v>96.425415009999995</v>
      </c>
      <c r="Z100">
        <v>66.313809669999998</v>
      </c>
      <c r="AA100">
        <v>98.931027040000004</v>
      </c>
    </row>
    <row r="101" spans="2:27" x14ac:dyDescent="0.2">
      <c r="B101">
        <v>61.794899999999998</v>
      </c>
      <c r="C101">
        <v>99.102599999999995</v>
      </c>
      <c r="D101">
        <v>43.490450129999999</v>
      </c>
      <c r="E101">
        <v>40.782542069999998</v>
      </c>
      <c r="F101">
        <v>59.751497409999999</v>
      </c>
      <c r="G101">
        <v>89.731932520000001</v>
      </c>
      <c r="H101">
        <v>69.525069380000005</v>
      </c>
      <c r="I101">
        <v>93.598050209999997</v>
      </c>
      <c r="J101">
        <v>76.105629030000003</v>
      </c>
      <c r="K101">
        <v>95.304980580000006</v>
      </c>
      <c r="L101">
        <v>57.997804739999999</v>
      </c>
      <c r="M101">
        <v>92.159908610000002</v>
      </c>
      <c r="N101">
        <v>61.720619190000001</v>
      </c>
      <c r="O101">
        <v>85.705693449999998</v>
      </c>
      <c r="P101">
        <v>51.737281660000001</v>
      </c>
      <c r="Q101">
        <v>92.979117529999996</v>
      </c>
      <c r="R101">
        <v>58.528289540000003</v>
      </c>
      <c r="S101">
        <v>78.978704250000007</v>
      </c>
      <c r="T101">
        <v>63.144527480000001</v>
      </c>
      <c r="U101">
        <v>85.236696330000001</v>
      </c>
      <c r="V101">
        <v>67.464139810000006</v>
      </c>
      <c r="W101">
        <v>95.999963910000005</v>
      </c>
      <c r="X101">
        <v>50.297043270000003</v>
      </c>
      <c r="Y101">
        <v>99.644179170000001</v>
      </c>
      <c r="Z101">
        <v>65.309631449999998</v>
      </c>
      <c r="AA101">
        <v>98.165156839999995</v>
      </c>
    </row>
    <row r="102" spans="2:27" x14ac:dyDescent="0.2">
      <c r="B102">
        <v>64.871799999999993</v>
      </c>
      <c r="C102">
        <v>97.564099999999996</v>
      </c>
      <c r="D102">
        <v>55.138737970000001</v>
      </c>
      <c r="E102">
        <v>30.725760359999999</v>
      </c>
      <c r="F102">
        <v>64.774799239999993</v>
      </c>
      <c r="G102">
        <v>90.132316739999993</v>
      </c>
      <c r="H102">
        <v>69.520256599999996</v>
      </c>
      <c r="I102">
        <v>97.193876020000005</v>
      </c>
      <c r="J102">
        <v>79.20256268</v>
      </c>
      <c r="K102">
        <v>92.407215629999996</v>
      </c>
      <c r="L102">
        <v>57.549474080000003</v>
      </c>
      <c r="M102">
        <v>90.748906559999995</v>
      </c>
      <c r="N102">
        <v>63.609379859999997</v>
      </c>
      <c r="O102">
        <v>83.360028839999998</v>
      </c>
      <c r="P102">
        <v>75.870963689999996</v>
      </c>
      <c r="Q102">
        <v>88.386441739999995</v>
      </c>
      <c r="R102">
        <v>56.265834259999998</v>
      </c>
      <c r="S102">
        <v>79.252939490000003</v>
      </c>
      <c r="T102">
        <v>50.42467869</v>
      </c>
      <c r="U102">
        <v>85.174747589999996</v>
      </c>
      <c r="V102">
        <v>65.150705279999997</v>
      </c>
      <c r="W102">
        <v>92.502633739999993</v>
      </c>
      <c r="X102">
        <v>61.563324379999997</v>
      </c>
      <c r="Y102">
        <v>89.864138859999997</v>
      </c>
      <c r="Z102">
        <v>65.714076070000004</v>
      </c>
      <c r="AA102">
        <v>99.283763949999994</v>
      </c>
    </row>
    <row r="103" spans="2:27" x14ac:dyDescent="0.2">
      <c r="B103">
        <v>68.461500000000001</v>
      </c>
      <c r="C103">
        <v>94.102599999999995</v>
      </c>
      <c r="D103">
        <v>43.68439343</v>
      </c>
      <c r="E103">
        <v>32.82300987</v>
      </c>
      <c r="F103">
        <v>70.844447599999995</v>
      </c>
      <c r="G103">
        <v>89.924209020000006</v>
      </c>
      <c r="H103">
        <v>69.498970069999999</v>
      </c>
      <c r="I103">
        <v>92.120489930000005</v>
      </c>
      <c r="J103">
        <v>84.848244089999994</v>
      </c>
      <c r="K103">
        <v>95.424804530000003</v>
      </c>
      <c r="L103">
        <v>59.529928460000001</v>
      </c>
      <c r="M103">
        <v>88.327274149999994</v>
      </c>
      <c r="N103">
        <v>70.723716229999994</v>
      </c>
      <c r="O103">
        <v>87.152207520000005</v>
      </c>
      <c r="P103">
        <v>75.244326209999997</v>
      </c>
      <c r="Q103">
        <v>83.903497380000005</v>
      </c>
      <c r="R103">
        <v>57.075892420000002</v>
      </c>
      <c r="S103">
        <v>79.193922540000003</v>
      </c>
      <c r="T103">
        <v>70.644996259999999</v>
      </c>
      <c r="U103">
        <v>82.430918759999997</v>
      </c>
      <c r="V103">
        <v>65.583427700000001</v>
      </c>
      <c r="W103">
        <v>93.517060939999993</v>
      </c>
      <c r="X103">
        <v>61.086560390000002</v>
      </c>
      <c r="Y103">
        <v>89.224355650000007</v>
      </c>
      <c r="Z103">
        <v>67.593453190000005</v>
      </c>
      <c r="AA103">
        <v>90.951909819999997</v>
      </c>
    </row>
    <row r="104" spans="2:27" x14ac:dyDescent="0.2">
      <c r="B104">
        <v>70.769199999999998</v>
      </c>
      <c r="C104">
        <v>91.025599999999997</v>
      </c>
      <c r="D104">
        <v>35.903609729999999</v>
      </c>
      <c r="E104">
        <v>91.111863080000006</v>
      </c>
      <c r="F104">
        <v>70.605945509999998</v>
      </c>
      <c r="G104">
        <v>90.042061959999998</v>
      </c>
      <c r="H104">
        <v>69.52861566</v>
      </c>
      <c r="I104">
        <v>91.622088239999997</v>
      </c>
      <c r="J104">
        <v>81.56447532</v>
      </c>
      <c r="K104">
        <v>83.792907229999997</v>
      </c>
      <c r="L104">
        <v>58.249391060000001</v>
      </c>
      <c r="M104">
        <v>92.129681480000002</v>
      </c>
      <c r="N104">
        <v>75.006392640000001</v>
      </c>
      <c r="O104">
        <v>82.425835160000005</v>
      </c>
      <c r="P104">
        <v>75.198295290000004</v>
      </c>
      <c r="Q104">
        <v>83.462303340000005</v>
      </c>
      <c r="R104">
        <v>54.256402379999997</v>
      </c>
      <c r="S104">
        <v>79.313864850000002</v>
      </c>
      <c r="T104">
        <v>63.149049079999998</v>
      </c>
      <c r="U104">
        <v>83.946855350000007</v>
      </c>
      <c r="V104">
        <v>69.288973139999996</v>
      </c>
      <c r="W104">
        <v>99.579591129999997</v>
      </c>
      <c r="X104">
        <v>59.236490400000001</v>
      </c>
      <c r="Y104">
        <v>91.481100580000003</v>
      </c>
      <c r="Z104">
        <v>66.388017320000003</v>
      </c>
      <c r="AA104">
        <v>89.281230469999997</v>
      </c>
    </row>
    <row r="105" spans="2:27" x14ac:dyDescent="0.2">
      <c r="B105">
        <v>72.051299999999998</v>
      </c>
      <c r="C105">
        <v>86.410300000000007</v>
      </c>
      <c r="D105">
        <v>45.378018879999999</v>
      </c>
      <c r="E105">
        <v>29.169216649999999</v>
      </c>
      <c r="F105">
        <v>78.642488389999997</v>
      </c>
      <c r="G105">
        <v>89.551203229999999</v>
      </c>
      <c r="H105">
        <v>69.499766930000007</v>
      </c>
      <c r="I105">
        <v>84.479683289999997</v>
      </c>
      <c r="J105">
        <v>85.446186400000002</v>
      </c>
      <c r="K105">
        <v>83.078293840000001</v>
      </c>
      <c r="L105">
        <v>58.024514009999997</v>
      </c>
      <c r="M105">
        <v>91.694421169999998</v>
      </c>
      <c r="N105">
        <v>75.092549779999999</v>
      </c>
      <c r="O105">
        <v>83.437390710000003</v>
      </c>
      <c r="P105">
        <v>75.701041529999998</v>
      </c>
      <c r="Q105">
        <v>82.919458860000006</v>
      </c>
      <c r="R105">
        <v>62.685671249999999</v>
      </c>
      <c r="S105">
        <v>78.174743269999993</v>
      </c>
      <c r="T105">
        <v>62.824024520000002</v>
      </c>
      <c r="U105">
        <v>84.966185949999996</v>
      </c>
      <c r="V105">
        <v>81.269440549999999</v>
      </c>
      <c r="W105">
        <v>80.635944929999994</v>
      </c>
      <c r="X105">
        <v>66.154005089999998</v>
      </c>
      <c r="Y105">
        <v>84.111937030000007</v>
      </c>
      <c r="Z105">
        <v>67.806188109999994</v>
      </c>
      <c r="AA105">
        <v>91.688177350000004</v>
      </c>
    </row>
    <row r="106" spans="2:27" x14ac:dyDescent="0.2">
      <c r="B106">
        <v>73.846199999999996</v>
      </c>
      <c r="C106">
        <v>83.333299999999994</v>
      </c>
      <c r="D106">
        <v>39.77748287</v>
      </c>
      <c r="E106">
        <v>43.755818949999998</v>
      </c>
      <c r="F106">
        <v>70.810692250000002</v>
      </c>
      <c r="G106">
        <v>89.592654010000004</v>
      </c>
      <c r="H106">
        <v>69.503801370000005</v>
      </c>
      <c r="I106">
        <v>81.815405620000007</v>
      </c>
      <c r="J106">
        <v>80.312491379999997</v>
      </c>
      <c r="K106">
        <v>76.516238950000002</v>
      </c>
      <c r="L106">
        <v>58.382124490000002</v>
      </c>
      <c r="M106">
        <v>90.553476070000002</v>
      </c>
      <c r="N106">
        <v>70.327929179999998</v>
      </c>
      <c r="O106">
        <v>82.029354699999999</v>
      </c>
      <c r="P106">
        <v>75.479339659999994</v>
      </c>
      <c r="Q106">
        <v>82.884051389999996</v>
      </c>
      <c r="R106">
        <v>68.085605860000001</v>
      </c>
      <c r="S106">
        <v>76.112317500000003</v>
      </c>
      <c r="T106">
        <v>70.236869519999999</v>
      </c>
      <c r="U106">
        <v>82.17115106</v>
      </c>
      <c r="V106">
        <v>78.575744839999999</v>
      </c>
      <c r="W106">
        <v>76.81570309</v>
      </c>
      <c r="X106">
        <v>67.231334779999997</v>
      </c>
      <c r="Y106">
        <v>85.05564081</v>
      </c>
      <c r="Z106">
        <v>70.962610310000002</v>
      </c>
      <c r="AA106">
        <v>86.518121350000001</v>
      </c>
    </row>
    <row r="107" spans="2:27" x14ac:dyDescent="0.2">
      <c r="B107">
        <v>75.128200000000007</v>
      </c>
      <c r="C107">
        <v>79.102599999999995</v>
      </c>
      <c r="D107">
        <v>38.664461160000002</v>
      </c>
      <c r="E107">
        <v>33.31723848</v>
      </c>
      <c r="F107">
        <v>66.769946619999999</v>
      </c>
      <c r="G107">
        <v>70.423375210000003</v>
      </c>
      <c r="H107">
        <v>69.487589400000005</v>
      </c>
      <c r="I107">
        <v>81.835987560000007</v>
      </c>
      <c r="J107">
        <v>80.766232299999999</v>
      </c>
      <c r="K107">
        <v>79.896065680000007</v>
      </c>
      <c r="L107">
        <v>62.566759040000001</v>
      </c>
      <c r="M107">
        <v>77.743934760000002</v>
      </c>
      <c r="N107">
        <v>70.863330829999995</v>
      </c>
      <c r="O107">
        <v>79.408174750000001</v>
      </c>
      <c r="P107">
        <v>75.194566870000003</v>
      </c>
      <c r="Q107">
        <v>82.932115780000004</v>
      </c>
      <c r="R107">
        <v>65.118121959999996</v>
      </c>
      <c r="S107">
        <v>77.399188449999997</v>
      </c>
      <c r="T107">
        <v>70.042735239999999</v>
      </c>
      <c r="U107">
        <v>80.385021350000002</v>
      </c>
      <c r="V107">
        <v>74.186773500000001</v>
      </c>
      <c r="W107">
        <v>74.344204149999996</v>
      </c>
      <c r="X107">
        <v>73.709906869999998</v>
      </c>
      <c r="Y107">
        <v>78.270610899999994</v>
      </c>
      <c r="Z107">
        <v>71.99363717</v>
      </c>
      <c r="AA107">
        <v>78.82094807</v>
      </c>
    </row>
    <row r="108" spans="2:27" x14ac:dyDescent="0.2">
      <c r="B108">
        <v>76.666700000000006</v>
      </c>
      <c r="C108">
        <v>75.256399999999999</v>
      </c>
      <c r="D108">
        <v>39.044036689999999</v>
      </c>
      <c r="E108">
        <v>84.676010829999996</v>
      </c>
      <c r="F108">
        <v>73.336368160000006</v>
      </c>
      <c r="G108">
        <v>70.31692717</v>
      </c>
      <c r="H108">
        <v>69.519115729999996</v>
      </c>
      <c r="I108">
        <v>71.115967220000002</v>
      </c>
      <c r="J108">
        <v>82.67011248</v>
      </c>
      <c r="K108">
        <v>81.711479850000003</v>
      </c>
      <c r="L108">
        <v>72.175824309999996</v>
      </c>
      <c r="M108">
        <v>63.128929419999999</v>
      </c>
      <c r="N108">
        <v>75.779904819999999</v>
      </c>
      <c r="O108">
        <v>79.886199419999997</v>
      </c>
      <c r="P108">
        <v>74.820253960000002</v>
      </c>
      <c r="Q108">
        <v>82.962388790000006</v>
      </c>
      <c r="R108">
        <v>68.745631299999999</v>
      </c>
      <c r="S108">
        <v>75.790055449999997</v>
      </c>
      <c r="T108">
        <v>72.570623449999999</v>
      </c>
      <c r="U108">
        <v>80.971218429999993</v>
      </c>
      <c r="V108">
        <v>72.622209409999996</v>
      </c>
      <c r="W108">
        <v>74.526965649999994</v>
      </c>
      <c r="X108">
        <v>76.580451359999998</v>
      </c>
      <c r="Y108">
        <v>72.891533679999995</v>
      </c>
      <c r="Z108">
        <v>72.479834330000003</v>
      </c>
      <c r="AA108">
        <v>80.800683059999997</v>
      </c>
    </row>
    <row r="109" spans="2:27" x14ac:dyDescent="0.2">
      <c r="B109">
        <v>77.692300000000003</v>
      </c>
      <c r="C109">
        <v>71.410300000000007</v>
      </c>
      <c r="D109">
        <v>91.639961439999993</v>
      </c>
      <c r="E109">
        <v>79.406603059999995</v>
      </c>
      <c r="F109">
        <v>73.105148159999999</v>
      </c>
      <c r="G109">
        <v>70.300511880000002</v>
      </c>
      <c r="H109">
        <v>69.504376289999996</v>
      </c>
      <c r="I109">
        <v>70.493443819999996</v>
      </c>
      <c r="J109">
        <v>77.163625479999993</v>
      </c>
      <c r="K109">
        <v>73.523718959999997</v>
      </c>
      <c r="L109">
        <v>79.472761570000003</v>
      </c>
      <c r="M109">
        <v>63.408686119999999</v>
      </c>
      <c r="N109">
        <v>78.093659070000001</v>
      </c>
      <c r="O109">
        <v>77.759558179999999</v>
      </c>
      <c r="P109">
        <v>75.164340490000001</v>
      </c>
      <c r="Q109">
        <v>83.034997169999997</v>
      </c>
      <c r="R109">
        <v>63.090225140000001</v>
      </c>
      <c r="S109">
        <v>78.0414095</v>
      </c>
      <c r="T109">
        <v>75.130716039999996</v>
      </c>
      <c r="U109">
        <v>79.984093139999999</v>
      </c>
      <c r="V109">
        <v>75.141519590000001</v>
      </c>
      <c r="W109">
        <v>73.819668460000003</v>
      </c>
      <c r="X109">
        <v>78.876581160000001</v>
      </c>
      <c r="Y109">
        <v>71.562527680000002</v>
      </c>
      <c r="Z109">
        <v>74.078429229999998</v>
      </c>
      <c r="AA109">
        <v>72.951530849999997</v>
      </c>
    </row>
    <row r="110" spans="2:27" x14ac:dyDescent="0.2">
      <c r="B110">
        <v>79.743600000000001</v>
      </c>
      <c r="C110">
        <v>66.794899999999998</v>
      </c>
      <c r="D110">
        <v>47.48813268</v>
      </c>
      <c r="E110">
        <v>85.389933380000002</v>
      </c>
      <c r="F110">
        <v>74.678254140000007</v>
      </c>
      <c r="G110">
        <v>70.445314190000005</v>
      </c>
      <c r="H110">
        <v>69.512573009999997</v>
      </c>
      <c r="I110">
        <v>61.49756395</v>
      </c>
      <c r="J110">
        <v>74.070700029999998</v>
      </c>
      <c r="K110">
        <v>68.479564289999999</v>
      </c>
      <c r="L110">
        <v>80.357700879999996</v>
      </c>
      <c r="M110">
        <v>63.295437540000002</v>
      </c>
      <c r="N110">
        <v>76.745761220000006</v>
      </c>
      <c r="O110">
        <v>71.97336009</v>
      </c>
      <c r="P110">
        <v>75.26335555</v>
      </c>
      <c r="Q110">
        <v>82.945279299999996</v>
      </c>
      <c r="R110">
        <v>77.204589319999997</v>
      </c>
      <c r="S110">
        <v>69.312149770000005</v>
      </c>
      <c r="T110">
        <v>83.293905730000006</v>
      </c>
      <c r="U110">
        <v>70.778431789999999</v>
      </c>
      <c r="V110">
        <v>75.168667839999998</v>
      </c>
      <c r="W110">
        <v>73.900444879999995</v>
      </c>
      <c r="X110">
        <v>77.449002140000005</v>
      </c>
      <c r="Y110">
        <v>72.447309489999995</v>
      </c>
      <c r="Z110">
        <v>72.036288020000001</v>
      </c>
      <c r="AA110">
        <v>69.716048420000007</v>
      </c>
    </row>
    <row r="111" spans="2:27" x14ac:dyDescent="0.2">
      <c r="B111">
        <v>81.794899999999998</v>
      </c>
      <c r="C111">
        <v>60.256399999999999</v>
      </c>
      <c r="D111">
        <v>44.590212579999999</v>
      </c>
      <c r="E111">
        <v>22.034011639999999</v>
      </c>
      <c r="F111">
        <v>80.240250950000004</v>
      </c>
      <c r="G111">
        <v>70.354308959999997</v>
      </c>
      <c r="H111">
        <v>89.494200559999996</v>
      </c>
      <c r="I111">
        <v>62.234326969999998</v>
      </c>
      <c r="J111">
        <v>74.11423087</v>
      </c>
      <c r="K111">
        <v>71.926363519999995</v>
      </c>
      <c r="L111">
        <v>78.757236140000003</v>
      </c>
      <c r="M111">
        <v>53.332620009999999</v>
      </c>
      <c r="N111">
        <v>78.464603440000005</v>
      </c>
      <c r="O111">
        <v>69.749300820000002</v>
      </c>
      <c r="P111">
        <v>77.756418929999995</v>
      </c>
      <c r="Q111">
        <v>51.151770329999998</v>
      </c>
      <c r="R111">
        <v>82.033908479999994</v>
      </c>
      <c r="S111">
        <v>62.68186979</v>
      </c>
      <c r="T111">
        <v>79.664262280000003</v>
      </c>
      <c r="U111">
        <v>73.932309720000006</v>
      </c>
      <c r="V111">
        <v>85.324202889999995</v>
      </c>
      <c r="W111">
        <v>55.38857883</v>
      </c>
      <c r="X111">
        <v>86.853707349999993</v>
      </c>
      <c r="Y111">
        <v>65.54332402</v>
      </c>
      <c r="Z111">
        <v>72.998186270000005</v>
      </c>
      <c r="AA111">
        <v>59.665644710000002</v>
      </c>
    </row>
    <row r="112" spans="2:27" x14ac:dyDescent="0.2">
      <c r="B112">
        <v>83.333299999999994</v>
      </c>
      <c r="C112">
        <v>55.256399999999999</v>
      </c>
      <c r="D112">
        <v>39.08961455</v>
      </c>
      <c r="E112">
        <v>70.466194079999994</v>
      </c>
      <c r="F112">
        <v>70.946849069999999</v>
      </c>
      <c r="G112">
        <v>50.472701790000002</v>
      </c>
      <c r="H112">
        <v>89.500124049999997</v>
      </c>
      <c r="I112">
        <v>53.216330620000001</v>
      </c>
      <c r="J112">
        <v>68.942075459999998</v>
      </c>
      <c r="K112">
        <v>62.635150580000001</v>
      </c>
      <c r="L112">
        <v>82.540239589999999</v>
      </c>
      <c r="M112">
        <v>56.541052290000003</v>
      </c>
      <c r="N112">
        <v>76.745684850000004</v>
      </c>
      <c r="O112">
        <v>70.044057260000002</v>
      </c>
      <c r="P112">
        <v>77.954435050000001</v>
      </c>
      <c r="Q112">
        <v>50.475578970000001</v>
      </c>
      <c r="R112">
        <v>81.577945920000005</v>
      </c>
      <c r="S112">
        <v>63.894925499999999</v>
      </c>
      <c r="T112">
        <v>88.432102529999995</v>
      </c>
      <c r="U112">
        <v>64.624246999999997</v>
      </c>
      <c r="V112">
        <v>84.090507599999995</v>
      </c>
      <c r="W112">
        <v>56.301968010000003</v>
      </c>
      <c r="X112">
        <v>79.806531300000003</v>
      </c>
      <c r="Y112">
        <v>52.723179790000003</v>
      </c>
      <c r="Z112">
        <v>74.812131230000006</v>
      </c>
      <c r="AA112">
        <v>57.589883759999999</v>
      </c>
    </row>
    <row r="113" spans="2:27" x14ac:dyDescent="0.2">
      <c r="B113">
        <v>85.128200000000007</v>
      </c>
      <c r="C113">
        <v>51.410299999999999</v>
      </c>
      <c r="D113">
        <v>42.22937838</v>
      </c>
      <c r="E113">
        <v>19.914068409999999</v>
      </c>
      <c r="F113">
        <v>88.662663809999998</v>
      </c>
      <c r="G113">
        <v>50.455326020000001</v>
      </c>
      <c r="H113">
        <v>89.490246249999998</v>
      </c>
      <c r="I113">
        <v>48.890796549999997</v>
      </c>
      <c r="J113">
        <v>73.242002330000005</v>
      </c>
      <c r="K113">
        <v>67.353271129999996</v>
      </c>
      <c r="L113">
        <v>86.435897190000006</v>
      </c>
      <c r="M113">
        <v>59.792761810000002</v>
      </c>
      <c r="N113">
        <v>85.161682189999993</v>
      </c>
      <c r="O113">
        <v>65.512404709999998</v>
      </c>
      <c r="P113">
        <v>77.08333777</v>
      </c>
      <c r="Q113">
        <v>52.157799269999998</v>
      </c>
      <c r="R113">
        <v>85.180143279999996</v>
      </c>
      <c r="S113">
        <v>53.781676660000002</v>
      </c>
      <c r="T113">
        <v>89.115559009999998</v>
      </c>
      <c r="U113">
        <v>64.001506640000002</v>
      </c>
      <c r="V113">
        <v>86.256223820000002</v>
      </c>
      <c r="W113">
        <v>55.830930379999998</v>
      </c>
      <c r="X113">
        <v>76.988273469999996</v>
      </c>
      <c r="Y113">
        <v>54.202784800000003</v>
      </c>
      <c r="Z113">
        <v>73.02730502</v>
      </c>
      <c r="AA113">
        <v>46.274187869999999</v>
      </c>
    </row>
    <row r="114" spans="2:27" x14ac:dyDescent="0.2">
      <c r="B114">
        <v>86.410300000000007</v>
      </c>
      <c r="C114">
        <v>47.564100000000003</v>
      </c>
      <c r="D114">
        <v>37.000387140000001</v>
      </c>
      <c r="E114">
        <v>60.264279250000001</v>
      </c>
      <c r="F114">
        <v>84.405952830000004</v>
      </c>
      <c r="G114">
        <v>50.49486589</v>
      </c>
      <c r="H114">
        <v>89.497785620000002</v>
      </c>
      <c r="I114">
        <v>46.629906669999997</v>
      </c>
      <c r="J114">
        <v>71.867013159999999</v>
      </c>
      <c r="K114">
        <v>34.329157590000001</v>
      </c>
      <c r="L114">
        <v>79.488684419999998</v>
      </c>
      <c r="M114">
        <v>53.65167426</v>
      </c>
      <c r="N114">
        <v>91.808352569999997</v>
      </c>
      <c r="O114">
        <v>34.96559448</v>
      </c>
      <c r="P114">
        <v>76.063550250000006</v>
      </c>
      <c r="Q114">
        <v>52.104652059999999</v>
      </c>
      <c r="R114">
        <v>84.28682499</v>
      </c>
      <c r="S114">
        <v>57.256168090000003</v>
      </c>
      <c r="T114">
        <v>89.092197630000001</v>
      </c>
      <c r="U114">
        <v>57.768193050000001</v>
      </c>
      <c r="V114">
        <v>92.548793320000001</v>
      </c>
      <c r="W114">
        <v>42.901907909999998</v>
      </c>
      <c r="X114">
        <v>79.479357500000006</v>
      </c>
      <c r="Y114">
        <v>49.141015449999998</v>
      </c>
      <c r="Z114">
        <v>77.067111929999996</v>
      </c>
      <c r="AA114">
        <v>51.486918189999997</v>
      </c>
    </row>
    <row r="115" spans="2:27" x14ac:dyDescent="0.2">
      <c r="B115">
        <v>87.948700000000002</v>
      </c>
      <c r="C115">
        <v>46.025599999999997</v>
      </c>
      <c r="D115">
        <v>39.05208648</v>
      </c>
      <c r="E115">
        <v>70.652502850000005</v>
      </c>
      <c r="F115">
        <v>75.987104709999997</v>
      </c>
      <c r="G115">
        <v>50.491966959999999</v>
      </c>
      <c r="H115">
        <v>89.504851130000006</v>
      </c>
      <c r="I115">
        <v>48.423408160000001</v>
      </c>
      <c r="J115">
        <v>71.569188850000003</v>
      </c>
      <c r="K115">
        <v>34.699218610000003</v>
      </c>
      <c r="L115">
        <v>81.530420320000005</v>
      </c>
      <c r="M115">
        <v>56.025364570000001</v>
      </c>
      <c r="N115">
        <v>91.887448590000005</v>
      </c>
      <c r="O115">
        <v>34.769253859999999</v>
      </c>
      <c r="P115">
        <v>77.682016320000002</v>
      </c>
      <c r="Q115">
        <v>51.16563781</v>
      </c>
      <c r="R115">
        <v>85.622486710000004</v>
      </c>
      <c r="S115">
        <v>45.024165859999997</v>
      </c>
      <c r="T115">
        <v>91.72600577</v>
      </c>
      <c r="U115">
        <v>52.623353260000002</v>
      </c>
      <c r="V115">
        <v>90.342634509999996</v>
      </c>
      <c r="W115">
        <v>37.780386100000001</v>
      </c>
      <c r="X115">
        <v>82.304159560000002</v>
      </c>
      <c r="Y115">
        <v>46.990903619999997</v>
      </c>
      <c r="Z115">
        <v>75.017136870000002</v>
      </c>
      <c r="AA115">
        <v>46.622442650000004</v>
      </c>
    </row>
    <row r="116" spans="2:27" x14ac:dyDescent="0.2">
      <c r="B116">
        <v>89.487200000000001</v>
      </c>
      <c r="C116">
        <v>42.564100000000003</v>
      </c>
      <c r="D116">
        <v>37.488414740000003</v>
      </c>
      <c r="E116">
        <v>60.814404850000003</v>
      </c>
      <c r="F116">
        <v>91.11208542</v>
      </c>
      <c r="G116">
        <v>50.489389389999999</v>
      </c>
      <c r="H116">
        <v>89.501052650000005</v>
      </c>
      <c r="I116">
        <v>43.347343700000003</v>
      </c>
      <c r="J116">
        <v>71.48290969</v>
      </c>
      <c r="K116">
        <v>34.680516990000001</v>
      </c>
      <c r="L116">
        <v>79.186788570000004</v>
      </c>
      <c r="M116">
        <v>53.234791850000001</v>
      </c>
      <c r="N116">
        <v>92.248401659999999</v>
      </c>
      <c r="O116">
        <v>32.377154429999997</v>
      </c>
      <c r="P116">
        <v>76.878081980000005</v>
      </c>
      <c r="Q116">
        <v>51.867562300000003</v>
      </c>
      <c r="R116">
        <v>85.604499020000006</v>
      </c>
      <c r="S116">
        <v>50.762337909999999</v>
      </c>
      <c r="T116">
        <v>91.735538759999997</v>
      </c>
      <c r="U116">
        <v>48.970210889999997</v>
      </c>
      <c r="V116">
        <v>85.819162899999995</v>
      </c>
      <c r="W116">
        <v>37.571386179999998</v>
      </c>
      <c r="X116">
        <v>90.700691250000006</v>
      </c>
      <c r="Y116">
        <v>41.466703010000003</v>
      </c>
      <c r="Z116">
        <v>76.665307729999995</v>
      </c>
      <c r="AA116">
        <v>38.440250970000001</v>
      </c>
    </row>
    <row r="117" spans="2:27" x14ac:dyDescent="0.2">
      <c r="B117">
        <v>93.333299999999994</v>
      </c>
      <c r="C117">
        <v>39.8718</v>
      </c>
      <c r="D117">
        <v>69.35955946</v>
      </c>
      <c r="E117">
        <v>65.521354599999995</v>
      </c>
      <c r="F117">
        <v>98.28812327</v>
      </c>
      <c r="G117">
        <v>30.60391937</v>
      </c>
      <c r="H117">
        <v>89.488841249999993</v>
      </c>
      <c r="I117">
        <v>40.625091220000002</v>
      </c>
      <c r="J117">
        <v>78.128522050000001</v>
      </c>
      <c r="K117">
        <v>23.139231840000001</v>
      </c>
      <c r="L117">
        <v>77.89905795</v>
      </c>
      <c r="M117">
        <v>51.822458330000003</v>
      </c>
      <c r="N117">
        <v>91.782532739999994</v>
      </c>
      <c r="O117">
        <v>34.384294650000001</v>
      </c>
      <c r="P117">
        <v>76.948502719999993</v>
      </c>
      <c r="Q117">
        <v>51.907516540000003</v>
      </c>
      <c r="R117">
        <v>84.424785830000005</v>
      </c>
      <c r="S117">
        <v>38.761410159999997</v>
      </c>
      <c r="T117">
        <v>91.507888170000001</v>
      </c>
      <c r="U117">
        <v>53.31265209</v>
      </c>
      <c r="V117">
        <v>90.44181811</v>
      </c>
      <c r="W117">
        <v>40.133113420000001</v>
      </c>
      <c r="X117">
        <v>95.443487809999993</v>
      </c>
      <c r="Y117">
        <v>36.18970161</v>
      </c>
      <c r="Z117">
        <v>77.91587423</v>
      </c>
      <c r="AA117">
        <v>45.926843380000001</v>
      </c>
    </row>
    <row r="118" spans="2:27" x14ac:dyDescent="0.2">
      <c r="B118">
        <v>95.384600000000006</v>
      </c>
      <c r="C118">
        <v>36.794899999999998</v>
      </c>
      <c r="D118">
        <v>43.542775929999998</v>
      </c>
      <c r="E118">
        <v>62.460311279999999</v>
      </c>
      <c r="F118">
        <v>95.065274840000001</v>
      </c>
      <c r="G118">
        <v>30.500402869999999</v>
      </c>
      <c r="H118">
        <v>89.501623530000003</v>
      </c>
      <c r="I118">
        <v>45.815179190000002</v>
      </c>
      <c r="J118">
        <v>78.789825250000007</v>
      </c>
      <c r="K118">
        <v>25.597193350000001</v>
      </c>
      <c r="L118">
        <v>75.130714209999994</v>
      </c>
      <c r="M118">
        <v>23.372441970000001</v>
      </c>
      <c r="N118">
        <v>96.080519370000005</v>
      </c>
      <c r="O118">
        <v>28.053600500000002</v>
      </c>
      <c r="P118">
        <v>77.864054710000005</v>
      </c>
      <c r="Q118">
        <v>49.662545530000003</v>
      </c>
      <c r="R118">
        <v>85.57098508</v>
      </c>
      <c r="S118">
        <v>44.560096440000002</v>
      </c>
      <c r="T118">
        <v>88.239001900000005</v>
      </c>
      <c r="U118">
        <v>31.477434880000001</v>
      </c>
      <c r="V118">
        <v>92.017559079999998</v>
      </c>
      <c r="W118">
        <v>39.917931129999999</v>
      </c>
      <c r="X118">
        <v>94.997488050000001</v>
      </c>
      <c r="Y118">
        <v>35.095301110000001</v>
      </c>
      <c r="Z118">
        <v>73.742046079999994</v>
      </c>
      <c r="AA118">
        <v>39.120985320000003</v>
      </c>
    </row>
    <row r="119" spans="2:27" x14ac:dyDescent="0.2">
      <c r="B119">
        <v>98.205100000000002</v>
      </c>
      <c r="C119">
        <v>33.718000000000004</v>
      </c>
      <c r="D119">
        <v>39.811230250000001</v>
      </c>
      <c r="E119">
        <v>65.334832809999995</v>
      </c>
      <c r="F119">
        <v>95.249233959999998</v>
      </c>
      <c r="G119">
        <v>30.459454210000001</v>
      </c>
      <c r="H119">
        <v>89.497529659999998</v>
      </c>
      <c r="I119">
        <v>33.901372670000001</v>
      </c>
      <c r="J119">
        <v>77.781546800000001</v>
      </c>
      <c r="K119">
        <v>23.447214469999999</v>
      </c>
      <c r="L119">
        <v>76.058013750000001</v>
      </c>
      <c r="M119">
        <v>16.383749689999998</v>
      </c>
      <c r="N119">
        <v>92.247898829999997</v>
      </c>
      <c r="O119">
        <v>28.070751489999999</v>
      </c>
      <c r="P119">
        <v>75.771450090000002</v>
      </c>
      <c r="Q119">
        <v>17.111251209999999</v>
      </c>
      <c r="R119">
        <v>84.626724199999998</v>
      </c>
      <c r="S119">
        <v>39.487077509999999</v>
      </c>
      <c r="T119">
        <v>88.530519200000001</v>
      </c>
      <c r="U119">
        <v>30.47603101</v>
      </c>
      <c r="V119">
        <v>95.260527839999995</v>
      </c>
      <c r="W119">
        <v>46.008830269999997</v>
      </c>
      <c r="X119">
        <v>91.517847250000003</v>
      </c>
      <c r="Y119">
        <v>36.890263130000001</v>
      </c>
      <c r="Z119">
        <v>75.329815789999998</v>
      </c>
      <c r="AA119">
        <v>32.830351919999998</v>
      </c>
    </row>
    <row r="120" spans="2:27" x14ac:dyDescent="0.2">
      <c r="B120">
        <v>56.666699999999999</v>
      </c>
      <c r="C120">
        <v>40.640999999999998</v>
      </c>
      <c r="D120">
        <v>70.06892594</v>
      </c>
      <c r="E120">
        <v>7.5934656089999999</v>
      </c>
      <c r="F120">
        <v>49.656126290000003</v>
      </c>
      <c r="G120">
        <v>50.431319870000003</v>
      </c>
      <c r="H120">
        <v>50.439092019999997</v>
      </c>
      <c r="I120">
        <v>37.670771799999997</v>
      </c>
      <c r="J120">
        <v>48.53062937</v>
      </c>
      <c r="K120">
        <v>34.152450010000003</v>
      </c>
      <c r="L120">
        <v>57.614674389999998</v>
      </c>
      <c r="M120">
        <v>33.822447650000001</v>
      </c>
      <c r="N120">
        <v>57.66227662</v>
      </c>
      <c r="O120">
        <v>24.06060793</v>
      </c>
      <c r="P120">
        <v>52.331569129999998</v>
      </c>
      <c r="Q120">
        <v>51.878860349999997</v>
      </c>
      <c r="R120">
        <v>73.396154929999994</v>
      </c>
      <c r="S120">
        <v>22.81624794</v>
      </c>
      <c r="T120">
        <v>55.365160340000003</v>
      </c>
      <c r="U120">
        <v>30.445850279999998</v>
      </c>
      <c r="V120">
        <v>41.2902998</v>
      </c>
      <c r="W120">
        <v>42.311552409999997</v>
      </c>
      <c r="X120">
        <v>62.292642190000002</v>
      </c>
      <c r="Y120">
        <v>40.029533309999998</v>
      </c>
      <c r="Z120">
        <v>63.410435509999999</v>
      </c>
      <c r="AA120">
        <v>38.377735610000002</v>
      </c>
    </row>
    <row r="121" spans="2:27" x14ac:dyDescent="0.2">
      <c r="B121">
        <v>59.230800000000002</v>
      </c>
      <c r="C121">
        <v>38.333300000000001</v>
      </c>
      <c r="D121">
        <v>70.040543580000005</v>
      </c>
      <c r="E121">
        <v>77.143806600000005</v>
      </c>
      <c r="F121">
        <v>63.018600929999998</v>
      </c>
      <c r="G121">
        <v>30.49258193</v>
      </c>
      <c r="H121">
        <v>50.179850129999998</v>
      </c>
      <c r="I121">
        <v>36.807559339999997</v>
      </c>
      <c r="J121">
        <v>65.530781469999994</v>
      </c>
      <c r="K121">
        <v>42.281084700000001</v>
      </c>
      <c r="L121">
        <v>56.17139753</v>
      </c>
      <c r="M121">
        <v>32.117988769999997</v>
      </c>
      <c r="N121">
        <v>59.846924889999997</v>
      </c>
      <c r="O121">
        <v>26.177712490000001</v>
      </c>
      <c r="P121">
        <v>52.592818370000003</v>
      </c>
      <c r="Q121">
        <v>51.391591519999999</v>
      </c>
      <c r="R121">
        <v>73.507447729999996</v>
      </c>
      <c r="S121">
        <v>22.85698876</v>
      </c>
      <c r="T121">
        <v>62.560258869999998</v>
      </c>
      <c r="U121">
        <v>30.447135670000002</v>
      </c>
      <c r="V121">
        <v>66.431324320000002</v>
      </c>
      <c r="W121">
        <v>36.536109740000001</v>
      </c>
      <c r="X121">
        <v>59.203475609999998</v>
      </c>
      <c r="Y121">
        <v>41.270677669999998</v>
      </c>
      <c r="Z121">
        <v>68.856486669999995</v>
      </c>
      <c r="AA121">
        <v>43.084147209999998</v>
      </c>
    </row>
    <row r="122" spans="2:27" x14ac:dyDescent="0.2">
      <c r="B122">
        <v>60.769199999999998</v>
      </c>
      <c r="C122">
        <v>33.718000000000004</v>
      </c>
      <c r="D122">
        <v>39.50578908</v>
      </c>
      <c r="E122">
        <v>74.851627219999997</v>
      </c>
      <c r="F122">
        <v>70.538200599999996</v>
      </c>
      <c r="G122">
        <v>30.483558250000002</v>
      </c>
      <c r="H122">
        <v>69.505070669999995</v>
      </c>
      <c r="I122">
        <v>33.740152500000001</v>
      </c>
      <c r="J122">
        <v>70.118034140000006</v>
      </c>
      <c r="K122">
        <v>36.448184789999999</v>
      </c>
      <c r="L122">
        <v>66.287890599999997</v>
      </c>
      <c r="M122">
        <v>26.117109750000001</v>
      </c>
      <c r="N122">
        <v>64.067096210000003</v>
      </c>
      <c r="O122">
        <v>27.776500559999999</v>
      </c>
      <c r="P122">
        <v>50.477047720000002</v>
      </c>
      <c r="Q122">
        <v>17.048289409999999</v>
      </c>
      <c r="R122">
        <v>63.356488110000001</v>
      </c>
      <c r="S122">
        <v>17.724068840000001</v>
      </c>
      <c r="T122">
        <v>58.006669119999998</v>
      </c>
      <c r="U122">
        <v>30.253721299999999</v>
      </c>
      <c r="V122">
        <v>63.98634689</v>
      </c>
      <c r="W122">
        <v>32.713431610000001</v>
      </c>
      <c r="X122">
        <v>65.256392770000005</v>
      </c>
      <c r="Y122">
        <v>32.854104120000002</v>
      </c>
      <c r="Z122">
        <v>66.337785049999994</v>
      </c>
      <c r="AA122">
        <v>33.306510000000003</v>
      </c>
    </row>
    <row r="123" spans="2:27" x14ac:dyDescent="0.2">
      <c r="B123">
        <v>63.076900000000002</v>
      </c>
      <c r="C123">
        <v>29.102599999999999</v>
      </c>
      <c r="D123">
        <v>62.516890850000003</v>
      </c>
      <c r="E123">
        <v>66.48473224</v>
      </c>
      <c r="F123">
        <v>70.086869770000007</v>
      </c>
      <c r="G123">
        <v>30.510044820000001</v>
      </c>
      <c r="H123">
        <v>69.579867050000004</v>
      </c>
      <c r="I123">
        <v>21.935236750000001</v>
      </c>
      <c r="J123">
        <v>70.472262610000001</v>
      </c>
      <c r="K123">
        <v>36.08805306</v>
      </c>
      <c r="L123">
        <v>67.881719619999998</v>
      </c>
      <c r="M123">
        <v>24.23601841</v>
      </c>
      <c r="N123">
        <v>60.981501399999999</v>
      </c>
      <c r="O123">
        <v>23.934298160000001</v>
      </c>
      <c r="P123">
        <v>75.296475090000001</v>
      </c>
      <c r="Q123">
        <v>17.015653189999998</v>
      </c>
      <c r="R123">
        <v>72.959046869999995</v>
      </c>
      <c r="S123">
        <v>22.511499830000002</v>
      </c>
      <c r="T123">
        <v>55.06711799</v>
      </c>
      <c r="U123">
        <v>29.011535200000001</v>
      </c>
      <c r="V123">
        <v>61.269682090000003</v>
      </c>
      <c r="W123">
        <v>29.38572405</v>
      </c>
      <c r="X123">
        <v>62.444742499999997</v>
      </c>
      <c r="Y123">
        <v>35.414999229999999</v>
      </c>
      <c r="Z123">
        <v>64.203718499999994</v>
      </c>
      <c r="AA123">
        <v>26.644114299999998</v>
      </c>
    </row>
    <row r="124" spans="2:27" x14ac:dyDescent="0.2">
      <c r="B124">
        <v>64.102599999999995</v>
      </c>
      <c r="C124">
        <v>25.256399999999999</v>
      </c>
      <c r="D124">
        <v>72.139925410000004</v>
      </c>
      <c r="E124">
        <v>1.5119324999999999E-2</v>
      </c>
      <c r="F124">
        <v>62.685690440000002</v>
      </c>
      <c r="G124">
        <v>30.546424559999998</v>
      </c>
      <c r="H124">
        <v>69.506471950000005</v>
      </c>
      <c r="I124">
        <v>22.728662870000001</v>
      </c>
      <c r="J124">
        <v>76.791130069999994</v>
      </c>
      <c r="K124">
        <v>28.07200817</v>
      </c>
      <c r="L124">
        <v>64.028081299999997</v>
      </c>
      <c r="M124">
        <v>27.672685510000001</v>
      </c>
      <c r="N124">
        <v>59.967057910000001</v>
      </c>
      <c r="O124">
        <v>26.802583219999999</v>
      </c>
      <c r="P124">
        <v>75.573954130000004</v>
      </c>
      <c r="Q124">
        <v>17.062192140000001</v>
      </c>
      <c r="R124">
        <v>64.020841649999994</v>
      </c>
      <c r="S124">
        <v>17.883581249999999</v>
      </c>
      <c r="T124">
        <v>61.614775960000003</v>
      </c>
      <c r="U124">
        <v>29.994391190000002</v>
      </c>
      <c r="V124">
        <v>60.749389190000002</v>
      </c>
      <c r="W124">
        <v>28.051736340000001</v>
      </c>
      <c r="X124">
        <v>72.462406290000004</v>
      </c>
      <c r="Y124">
        <v>27.62426383</v>
      </c>
      <c r="Z124">
        <v>64.49863483</v>
      </c>
      <c r="AA124">
        <v>22.863501329999998</v>
      </c>
    </row>
    <row r="125" spans="2:27" x14ac:dyDescent="0.2">
      <c r="B125">
        <v>64.358999999999995</v>
      </c>
      <c r="C125">
        <v>24.102599999999999</v>
      </c>
      <c r="D125">
        <v>45.251576069999999</v>
      </c>
      <c r="E125">
        <v>70.003421320000001</v>
      </c>
      <c r="F125">
        <v>69.239417959999997</v>
      </c>
      <c r="G125">
        <v>30.50600524</v>
      </c>
      <c r="H125">
        <v>69.499478870000004</v>
      </c>
      <c r="I125">
        <v>16.337469980000002</v>
      </c>
      <c r="J125">
        <v>72.409354590000007</v>
      </c>
      <c r="K125">
        <v>33.039256969999997</v>
      </c>
      <c r="L125">
        <v>77.496651749999998</v>
      </c>
      <c r="M125">
        <v>14.94852356</v>
      </c>
      <c r="N125">
        <v>62.70745411</v>
      </c>
      <c r="O125">
        <v>21.995508579999999</v>
      </c>
      <c r="P125">
        <v>75.400527159999996</v>
      </c>
      <c r="Q125">
        <v>17.041106889999998</v>
      </c>
      <c r="R125">
        <v>61.124463239999997</v>
      </c>
      <c r="S125">
        <v>17.116353360000002</v>
      </c>
      <c r="T125">
        <v>68.543143540000003</v>
      </c>
      <c r="U125">
        <v>35.657832169999999</v>
      </c>
      <c r="V125">
        <v>64.655230560000007</v>
      </c>
      <c r="W125">
        <v>16.612276510000001</v>
      </c>
      <c r="X125">
        <v>69.919426259999994</v>
      </c>
      <c r="Y125">
        <v>29.311092720000001</v>
      </c>
      <c r="Z125">
        <v>68.890990610000003</v>
      </c>
      <c r="AA125">
        <v>27.296205669999999</v>
      </c>
    </row>
    <row r="126" spans="2:27" x14ac:dyDescent="0.2">
      <c r="B126">
        <v>74.358999999999995</v>
      </c>
      <c r="C126">
        <v>22.948699999999999</v>
      </c>
      <c r="D126">
        <v>42.063304559999999</v>
      </c>
      <c r="E126">
        <v>2.3351966119999998</v>
      </c>
      <c r="F126">
        <v>80.400233679999999</v>
      </c>
      <c r="G126">
        <v>30.485006370000001</v>
      </c>
      <c r="H126">
        <v>69.500264749999999</v>
      </c>
      <c r="I126">
        <v>27.136023990000002</v>
      </c>
      <c r="J126">
        <v>76.271299819999996</v>
      </c>
      <c r="K126">
        <v>25.569544149999999</v>
      </c>
      <c r="L126">
        <v>77.634651759999997</v>
      </c>
      <c r="M126">
        <v>14.46185393</v>
      </c>
      <c r="N126">
        <v>69.195235199999999</v>
      </c>
      <c r="O126">
        <v>22.70979217</v>
      </c>
      <c r="P126">
        <v>75.870990840000005</v>
      </c>
      <c r="Q126">
        <v>17.134893909999999</v>
      </c>
      <c r="R126">
        <v>75.674207330000002</v>
      </c>
      <c r="S126">
        <v>24.782500970000001</v>
      </c>
      <c r="T126">
        <v>77.706109650000002</v>
      </c>
      <c r="U126">
        <v>20.304260190000001</v>
      </c>
      <c r="V126">
        <v>68.638280710000004</v>
      </c>
      <c r="W126">
        <v>18.508012900000001</v>
      </c>
      <c r="X126">
        <v>77.762859079999998</v>
      </c>
      <c r="Y126">
        <v>23.49137356</v>
      </c>
      <c r="Z126">
        <v>72.371523339999996</v>
      </c>
      <c r="AA126">
        <v>21.96163975</v>
      </c>
    </row>
    <row r="127" spans="2:27" x14ac:dyDescent="0.2">
      <c r="B127">
        <v>71.2821</v>
      </c>
      <c r="C127">
        <v>22.948699999999999</v>
      </c>
      <c r="D127">
        <v>36.355695150000003</v>
      </c>
      <c r="E127">
        <v>6.0058486499999999</v>
      </c>
      <c r="F127">
        <v>74.647878230000003</v>
      </c>
      <c r="G127">
        <v>30.67386286</v>
      </c>
      <c r="H127">
        <v>69.504156519999995</v>
      </c>
      <c r="I127">
        <v>23.668918099999999</v>
      </c>
      <c r="J127">
        <v>76.95325914</v>
      </c>
      <c r="K127">
        <v>27.770610739999999</v>
      </c>
      <c r="L127">
        <v>77.86372643</v>
      </c>
      <c r="M127">
        <v>14.61067765</v>
      </c>
      <c r="N127">
        <v>65.592362649999998</v>
      </c>
      <c r="O127">
        <v>20.6941731</v>
      </c>
      <c r="P127">
        <v>75.605884759999995</v>
      </c>
      <c r="Q127">
        <v>17.067723059999999</v>
      </c>
      <c r="R127">
        <v>69.513583159999996</v>
      </c>
      <c r="S127">
        <v>20.27935789</v>
      </c>
      <c r="T127">
        <v>68.453046000000001</v>
      </c>
      <c r="U127">
        <v>13.03552859</v>
      </c>
      <c r="V127">
        <v>65.776665159999993</v>
      </c>
      <c r="W127">
        <v>16.787656070000001</v>
      </c>
      <c r="X127">
        <v>72.778410199999996</v>
      </c>
      <c r="Y127">
        <v>26.90053537</v>
      </c>
      <c r="Z127">
        <v>69.765424969999998</v>
      </c>
      <c r="AA127">
        <v>19.99985045</v>
      </c>
    </row>
    <row r="128" spans="2:27" x14ac:dyDescent="0.2">
      <c r="B128">
        <v>67.948700000000002</v>
      </c>
      <c r="C128">
        <v>22.179500000000001</v>
      </c>
      <c r="D128">
        <v>30.391827660000001</v>
      </c>
      <c r="E128">
        <v>42.759612869999998</v>
      </c>
      <c r="F128">
        <v>65.995272720000003</v>
      </c>
      <c r="G128">
        <v>30.475024189999999</v>
      </c>
      <c r="H128">
        <v>69.532279579999994</v>
      </c>
      <c r="I128">
        <v>21.85090082</v>
      </c>
      <c r="J128">
        <v>75.107730090000004</v>
      </c>
      <c r="K128">
        <v>30.016983419999999</v>
      </c>
      <c r="L128">
        <v>77.33815817</v>
      </c>
      <c r="M128">
        <v>15.890054660000001</v>
      </c>
      <c r="N128">
        <v>64.617098530000007</v>
      </c>
      <c r="O128">
        <v>22.443145550000001</v>
      </c>
      <c r="P128">
        <v>75.89557705</v>
      </c>
      <c r="Q128">
        <v>17.169949710000001</v>
      </c>
      <c r="R128">
        <v>58.572135469999999</v>
      </c>
      <c r="S128">
        <v>16.64270381</v>
      </c>
      <c r="T128">
        <v>68.257206440000004</v>
      </c>
      <c r="U128">
        <v>12.38463915</v>
      </c>
      <c r="V128">
        <v>71.134126339999995</v>
      </c>
      <c r="W128">
        <v>19.385957529999999</v>
      </c>
      <c r="X128">
        <v>65.198316669999997</v>
      </c>
      <c r="Y128">
        <v>33.027171789999997</v>
      </c>
      <c r="Z128">
        <v>68.621312439999997</v>
      </c>
      <c r="AA128">
        <v>18.915676439999999</v>
      </c>
    </row>
    <row r="129" spans="2:27" x14ac:dyDescent="0.2">
      <c r="B129">
        <v>65.897400000000005</v>
      </c>
      <c r="C129">
        <v>20.256399999999999</v>
      </c>
      <c r="D129">
        <v>36.449003849999997</v>
      </c>
      <c r="E129">
        <v>50.546269070000001</v>
      </c>
      <c r="F129">
        <v>67.088559000000004</v>
      </c>
      <c r="G129">
        <v>30.494523950000001</v>
      </c>
      <c r="H129">
        <v>69.500111489999995</v>
      </c>
      <c r="I129">
        <v>11.79162601</v>
      </c>
      <c r="J129">
        <v>75.969285200000002</v>
      </c>
      <c r="K129">
        <v>29.038865380000001</v>
      </c>
      <c r="L129">
        <v>76.180416530000002</v>
      </c>
      <c r="M129">
        <v>15.91257375</v>
      </c>
      <c r="N129">
        <v>59.191159130000003</v>
      </c>
      <c r="O129">
        <v>17.767901810000001</v>
      </c>
      <c r="P129">
        <v>75.746563199999997</v>
      </c>
      <c r="Q129">
        <v>17.105716510000001</v>
      </c>
      <c r="R129">
        <v>70.981940989999998</v>
      </c>
      <c r="S129">
        <v>21.145888100000001</v>
      </c>
      <c r="T129">
        <v>70.255474669999998</v>
      </c>
      <c r="U129">
        <v>13.250384970000001</v>
      </c>
      <c r="V129">
        <v>63.723183499999998</v>
      </c>
      <c r="W129">
        <v>14.521421200000001</v>
      </c>
      <c r="X129">
        <v>69.459858890000007</v>
      </c>
      <c r="Y129">
        <v>30.197031509999999</v>
      </c>
      <c r="Z129">
        <v>64.297737170000005</v>
      </c>
      <c r="AA129">
        <v>20.42874969</v>
      </c>
    </row>
    <row r="130" spans="2:27" x14ac:dyDescent="0.2">
      <c r="B130">
        <v>63.076900000000002</v>
      </c>
      <c r="C130">
        <v>19.102599999999999</v>
      </c>
      <c r="D130">
        <v>40.467576000000001</v>
      </c>
      <c r="E130">
        <v>60.027512090000002</v>
      </c>
      <c r="F130">
        <v>59.852577029999999</v>
      </c>
      <c r="G130">
        <v>10.54318778</v>
      </c>
      <c r="H130">
        <v>69.50481542</v>
      </c>
      <c r="I130">
        <v>15.614358259999999</v>
      </c>
      <c r="J130">
        <v>75.283887010000001</v>
      </c>
      <c r="K130">
        <v>24.874753170000002</v>
      </c>
      <c r="L130">
        <v>77.252651090000001</v>
      </c>
      <c r="M130">
        <v>15.15151702</v>
      </c>
      <c r="N130">
        <v>55.839631369999999</v>
      </c>
      <c r="O130">
        <v>21.618569669999999</v>
      </c>
      <c r="P130">
        <v>75.142341479999999</v>
      </c>
      <c r="Q130">
        <v>16.754923890000001</v>
      </c>
      <c r="R130">
        <v>65.223030399999999</v>
      </c>
      <c r="S130">
        <v>18.397195119999999</v>
      </c>
      <c r="T130">
        <v>65.044325279999995</v>
      </c>
      <c r="U130">
        <v>11.00084148</v>
      </c>
      <c r="V130">
        <v>73.001494070000007</v>
      </c>
      <c r="W130">
        <v>24.073812539999999</v>
      </c>
      <c r="X130">
        <v>59.315055520000001</v>
      </c>
      <c r="Y130">
        <v>12.35431367</v>
      </c>
      <c r="Z130">
        <v>66.699265089999997</v>
      </c>
      <c r="AA130">
        <v>18.591085339999999</v>
      </c>
    </row>
    <row r="131" spans="2:27" x14ac:dyDescent="0.2">
      <c r="B131">
        <v>61.2821</v>
      </c>
      <c r="C131">
        <v>19.102599999999999</v>
      </c>
      <c r="D131">
        <v>81.724616800000007</v>
      </c>
      <c r="E131">
        <v>6.0375448460000003</v>
      </c>
      <c r="F131">
        <v>53.748990069999998</v>
      </c>
      <c r="G131">
        <v>10.52257453</v>
      </c>
      <c r="H131">
        <v>69.503474519999997</v>
      </c>
      <c r="I131">
        <v>17.169089769999999</v>
      </c>
      <c r="J131">
        <v>77.052240639999994</v>
      </c>
      <c r="K131">
        <v>27.905639090000001</v>
      </c>
      <c r="L131">
        <v>77.413375279999997</v>
      </c>
      <c r="M131">
        <v>15.22192798</v>
      </c>
      <c r="N131">
        <v>59.000758619999999</v>
      </c>
      <c r="O131">
        <v>21.171007490000001</v>
      </c>
      <c r="P131">
        <v>50.661779559999999</v>
      </c>
      <c r="Q131">
        <v>17.078140520000002</v>
      </c>
      <c r="R131">
        <v>65.31504391</v>
      </c>
      <c r="S131">
        <v>18.3337483</v>
      </c>
      <c r="T131">
        <v>60.092246609999997</v>
      </c>
      <c r="U131">
        <v>11.87211171</v>
      </c>
      <c r="V131">
        <v>72.436657499999995</v>
      </c>
      <c r="W131">
        <v>20.578345110000001</v>
      </c>
      <c r="X131">
        <v>51.487713360000001</v>
      </c>
      <c r="Y131">
        <v>20.843610689999998</v>
      </c>
      <c r="Z131">
        <v>67.544527680000002</v>
      </c>
      <c r="AA131">
        <v>16.447938130000001</v>
      </c>
    </row>
    <row r="132" spans="2:27" x14ac:dyDescent="0.2">
      <c r="B132">
        <v>58.7179</v>
      </c>
      <c r="C132">
        <v>18.333300000000001</v>
      </c>
      <c r="D132">
        <v>48.823197499999999</v>
      </c>
      <c r="E132">
        <v>76.635330580000002</v>
      </c>
      <c r="F132">
        <v>58.239095519999999</v>
      </c>
      <c r="G132">
        <v>10.494899029999999</v>
      </c>
      <c r="H132">
        <v>50.377401990000003</v>
      </c>
      <c r="I132">
        <v>16.506015059999999</v>
      </c>
      <c r="J132">
        <v>42.826756340000003</v>
      </c>
      <c r="K132">
        <v>25.556959410000001</v>
      </c>
      <c r="L132">
        <v>76.731849400000002</v>
      </c>
      <c r="M132">
        <v>16.216846140000001</v>
      </c>
      <c r="N132">
        <v>56.459371130000001</v>
      </c>
      <c r="O132">
        <v>25.144564209999999</v>
      </c>
      <c r="P132">
        <v>50.699850640000001</v>
      </c>
      <c r="Q132">
        <v>17.085184380000001</v>
      </c>
      <c r="R132">
        <v>64.010240679999995</v>
      </c>
      <c r="S132">
        <v>17.924478189999999</v>
      </c>
      <c r="T132">
        <v>52.99202897</v>
      </c>
      <c r="U132">
        <v>9.9066684830000007</v>
      </c>
      <c r="V132">
        <v>68.412767119999998</v>
      </c>
      <c r="W132">
        <v>19.91312654</v>
      </c>
      <c r="X132">
        <v>57.112447549999999</v>
      </c>
      <c r="Y132">
        <v>15.32178517</v>
      </c>
      <c r="Z132">
        <v>63.946951980000001</v>
      </c>
      <c r="AA132">
        <v>18.69284545</v>
      </c>
    </row>
    <row r="133" spans="2:27" x14ac:dyDescent="0.2">
      <c r="B133">
        <v>55.1282</v>
      </c>
      <c r="C133">
        <v>18.333300000000001</v>
      </c>
      <c r="D133">
        <v>35.620561770000002</v>
      </c>
      <c r="E133">
        <v>57.286015579999997</v>
      </c>
      <c r="F133">
        <v>54.810300499999997</v>
      </c>
      <c r="G133">
        <v>10.72492928</v>
      </c>
      <c r="H133">
        <v>50.339425480000003</v>
      </c>
      <c r="I133">
        <v>18.72345069</v>
      </c>
      <c r="J133">
        <v>42.080660690000002</v>
      </c>
      <c r="K133">
        <v>24.94652645</v>
      </c>
      <c r="L133">
        <v>49.47110541</v>
      </c>
      <c r="M133">
        <v>25.063019310000001</v>
      </c>
      <c r="N133">
        <v>52.358105360000003</v>
      </c>
      <c r="O133">
        <v>19.41705412</v>
      </c>
      <c r="P133">
        <v>50.91894087</v>
      </c>
      <c r="Q133">
        <v>17.14760476</v>
      </c>
      <c r="R133">
        <v>57.140935929999998</v>
      </c>
      <c r="S133">
        <v>16.598610539999999</v>
      </c>
      <c r="T133">
        <v>50.14462898</v>
      </c>
      <c r="U133">
        <v>12.211543089999999</v>
      </c>
      <c r="V133">
        <v>52.858315019999999</v>
      </c>
      <c r="W133">
        <v>20.235061000000002</v>
      </c>
      <c r="X133">
        <v>50.224417819999999</v>
      </c>
      <c r="Y133">
        <v>19.170969880000001</v>
      </c>
      <c r="Z133">
        <v>64.388192070000002</v>
      </c>
      <c r="AA133">
        <v>15.77281228</v>
      </c>
    </row>
    <row r="134" spans="2:27" x14ac:dyDescent="0.2">
      <c r="B134">
        <v>52.307699999999997</v>
      </c>
      <c r="C134">
        <v>18.333300000000001</v>
      </c>
      <c r="D134">
        <v>50.583963109999999</v>
      </c>
      <c r="E134">
        <v>71.806616099999999</v>
      </c>
      <c r="F134">
        <v>52.976712319999997</v>
      </c>
      <c r="G134">
        <v>10.859490279999999</v>
      </c>
      <c r="H134">
        <v>50.093650099999998</v>
      </c>
      <c r="I134">
        <v>11.60771342</v>
      </c>
      <c r="J134">
        <v>39.878304649999997</v>
      </c>
      <c r="K134">
        <v>18.324929220000001</v>
      </c>
      <c r="L134">
        <v>42.476539940000002</v>
      </c>
      <c r="M134">
        <v>18.338473560000001</v>
      </c>
      <c r="N134">
        <v>51.811663780000003</v>
      </c>
      <c r="O134">
        <v>17.033494600000001</v>
      </c>
      <c r="P134">
        <v>50.725258539999999</v>
      </c>
      <c r="Q134">
        <v>16.907469809999998</v>
      </c>
      <c r="R134">
        <v>56.36515326</v>
      </c>
      <c r="S134">
        <v>16.326546369999999</v>
      </c>
      <c r="T134">
        <v>46.508614190000003</v>
      </c>
      <c r="U134">
        <v>11.20713449</v>
      </c>
      <c r="V134">
        <v>53.52995267</v>
      </c>
      <c r="W134">
        <v>24.241915580000001</v>
      </c>
      <c r="X134">
        <v>50.433861190000002</v>
      </c>
      <c r="Y134">
        <v>18.534870850000001</v>
      </c>
      <c r="Z134">
        <v>65.570045690000001</v>
      </c>
      <c r="AA134">
        <v>23.765758219999999</v>
      </c>
    </row>
    <row r="135" spans="2:27" x14ac:dyDescent="0.2">
      <c r="B135">
        <v>49.743600000000001</v>
      </c>
      <c r="C135">
        <v>17.5641</v>
      </c>
      <c r="D135">
        <v>61.856465110000002</v>
      </c>
      <c r="E135">
        <v>71.792743160000001</v>
      </c>
      <c r="F135">
        <v>52.20389393</v>
      </c>
      <c r="G135">
        <v>10.495636920000001</v>
      </c>
      <c r="H135">
        <v>49.934127169999996</v>
      </c>
      <c r="I135">
        <v>22.256139739999998</v>
      </c>
      <c r="J135">
        <v>36.475499169999999</v>
      </c>
      <c r="K135">
        <v>17.718947790000001</v>
      </c>
      <c r="L135">
        <v>43.59511586</v>
      </c>
      <c r="M135">
        <v>19.994200979999999</v>
      </c>
      <c r="N135">
        <v>54.222845620000001</v>
      </c>
      <c r="O135">
        <v>19.50366554</v>
      </c>
      <c r="P135">
        <v>51.263871229999999</v>
      </c>
      <c r="Q135">
        <v>17.162349710000001</v>
      </c>
      <c r="R135">
        <v>43.046183239999998</v>
      </c>
      <c r="S135">
        <v>18.40255939</v>
      </c>
      <c r="T135">
        <v>43.807031960000003</v>
      </c>
      <c r="U135">
        <v>11.318944889999999</v>
      </c>
      <c r="V135">
        <v>50.759741050000002</v>
      </c>
      <c r="W135">
        <v>18.089394599999999</v>
      </c>
      <c r="X135">
        <v>56.380305399999997</v>
      </c>
      <c r="Y135">
        <v>14.78845971</v>
      </c>
      <c r="Z135">
        <v>38.402836880000002</v>
      </c>
      <c r="AA135">
        <v>19.046858669999999</v>
      </c>
    </row>
    <row r="136" spans="2:27" x14ac:dyDescent="0.2">
      <c r="B136">
        <v>47.435899999999997</v>
      </c>
      <c r="C136">
        <v>16.025600000000001</v>
      </c>
      <c r="D136">
        <v>39.323756029999998</v>
      </c>
      <c r="E136">
        <v>59.300819670000003</v>
      </c>
      <c r="F136">
        <v>50.745162239999999</v>
      </c>
      <c r="G136">
        <v>10.52490557</v>
      </c>
      <c r="H136">
        <v>50.28881861</v>
      </c>
      <c r="I136">
        <v>13.43641047</v>
      </c>
      <c r="J136">
        <v>37.103073639999998</v>
      </c>
      <c r="K136">
        <v>15.44561165</v>
      </c>
      <c r="L136">
        <v>50.339969670000002</v>
      </c>
      <c r="M136">
        <v>26.471396609999999</v>
      </c>
      <c r="N136">
        <v>49.018755400000003</v>
      </c>
      <c r="O136">
        <v>23.48927402</v>
      </c>
      <c r="P136">
        <v>51.25091965</v>
      </c>
      <c r="Q136">
        <v>17.240455860000001</v>
      </c>
      <c r="R136">
        <v>52.081755559999998</v>
      </c>
      <c r="S136">
        <v>16.45387453</v>
      </c>
      <c r="T136">
        <v>57.817854689999997</v>
      </c>
      <c r="U136">
        <v>10.945142430000001</v>
      </c>
      <c r="V136">
        <v>42.534808439999999</v>
      </c>
      <c r="W136">
        <v>10.16986846</v>
      </c>
      <c r="X136">
        <v>54.863504599999999</v>
      </c>
      <c r="Y136">
        <v>14.009611919999999</v>
      </c>
      <c r="Z136">
        <v>37.832360020000003</v>
      </c>
      <c r="AA136">
        <v>14.469489449999999</v>
      </c>
    </row>
    <row r="137" spans="2:27" x14ac:dyDescent="0.2">
      <c r="B137">
        <v>44.8718</v>
      </c>
      <c r="C137">
        <v>13.718</v>
      </c>
      <c r="D137">
        <v>42.185679139999998</v>
      </c>
      <c r="E137">
        <v>66.034897819999998</v>
      </c>
      <c r="F137">
        <v>42.713193619999998</v>
      </c>
      <c r="G137">
        <v>10.48754724</v>
      </c>
      <c r="H137">
        <v>50.287994429999998</v>
      </c>
      <c r="I137">
        <v>12.87228221</v>
      </c>
      <c r="J137">
        <v>34.14896821</v>
      </c>
      <c r="K137">
        <v>13.52386987</v>
      </c>
      <c r="L137">
        <v>40.748980260000003</v>
      </c>
      <c r="M137">
        <v>16.182141659999999</v>
      </c>
      <c r="N137">
        <v>35.653581199999998</v>
      </c>
      <c r="O137">
        <v>17.514508060000001</v>
      </c>
      <c r="P137">
        <v>50.785157210000001</v>
      </c>
      <c r="Q137">
        <v>17.180196479999999</v>
      </c>
      <c r="R137">
        <v>42.87903652</v>
      </c>
      <c r="S137">
        <v>18.489411029999999</v>
      </c>
      <c r="T137">
        <v>50.940492659999997</v>
      </c>
      <c r="U137">
        <v>9.6915471340000003</v>
      </c>
      <c r="V137">
        <v>41.53039785</v>
      </c>
      <c r="W137">
        <v>13.39629075</v>
      </c>
      <c r="X137">
        <v>45.499857650000003</v>
      </c>
      <c r="Y137">
        <v>3.9854262930000002</v>
      </c>
      <c r="Z137">
        <v>36.904161170000002</v>
      </c>
      <c r="AA137">
        <v>13.583815749999999</v>
      </c>
    </row>
    <row r="138" spans="2:27" x14ac:dyDescent="0.2">
      <c r="B138">
        <v>48.7179</v>
      </c>
      <c r="C138">
        <v>14.8718</v>
      </c>
      <c r="D138">
        <v>30.846918989999999</v>
      </c>
      <c r="E138">
        <v>37.341640099999999</v>
      </c>
      <c r="F138">
        <v>45.31722551</v>
      </c>
      <c r="G138">
        <v>10.49587339</v>
      </c>
      <c r="H138">
        <v>50.234720699999997</v>
      </c>
      <c r="I138">
        <v>20.40447292</v>
      </c>
      <c r="J138">
        <v>37.579421910000001</v>
      </c>
      <c r="K138">
        <v>15.015890130000001</v>
      </c>
      <c r="L138">
        <v>38.386525579999997</v>
      </c>
      <c r="M138">
        <v>14.580215150000001</v>
      </c>
      <c r="N138">
        <v>46.965785760000003</v>
      </c>
      <c r="O138">
        <v>16.78920162</v>
      </c>
      <c r="P138">
        <v>50.501396579999998</v>
      </c>
      <c r="Q138">
        <v>17.105770719999999</v>
      </c>
      <c r="R138">
        <v>51.566994800000003</v>
      </c>
      <c r="S138">
        <v>16.48571364</v>
      </c>
      <c r="T138">
        <v>63.497323080000001</v>
      </c>
      <c r="U138">
        <v>11.914069169999999</v>
      </c>
      <c r="V138">
        <v>46.714517989999997</v>
      </c>
      <c r="W138">
        <v>15.61327447</v>
      </c>
      <c r="X138">
        <v>49.936745309999999</v>
      </c>
      <c r="Y138">
        <v>21.590096920000001</v>
      </c>
      <c r="Z138">
        <v>36.28614305</v>
      </c>
      <c r="AA138">
        <v>17.10577073</v>
      </c>
    </row>
    <row r="139" spans="2:27" x14ac:dyDescent="0.2">
      <c r="B139">
        <v>51.2821</v>
      </c>
      <c r="C139">
        <v>14.8718</v>
      </c>
      <c r="D139">
        <v>29.34620043</v>
      </c>
      <c r="E139">
        <v>42.148741829999999</v>
      </c>
      <c r="F139">
        <v>53.116915040000002</v>
      </c>
      <c r="G139">
        <v>10.5068606</v>
      </c>
      <c r="H139">
        <v>50.279701639999999</v>
      </c>
      <c r="I139">
        <v>15.608737570000001</v>
      </c>
      <c r="J139">
        <v>41.064305789999999</v>
      </c>
      <c r="K139">
        <v>12.214468930000001</v>
      </c>
      <c r="L139">
        <v>38.404015209999997</v>
      </c>
      <c r="M139">
        <v>14.45194845</v>
      </c>
      <c r="N139">
        <v>49.584239259999997</v>
      </c>
      <c r="O139">
        <v>16.757916009999999</v>
      </c>
      <c r="P139">
        <v>50.733674540000003</v>
      </c>
      <c r="Q139">
        <v>16.992963410000002</v>
      </c>
      <c r="R139">
        <v>58.839125119999999</v>
      </c>
      <c r="S139">
        <v>16.63763522</v>
      </c>
      <c r="T139">
        <v>50.016482949999997</v>
      </c>
      <c r="U139">
        <v>11.93385209</v>
      </c>
      <c r="V139">
        <v>48.450617649999998</v>
      </c>
      <c r="W139">
        <v>16.212278220000002</v>
      </c>
      <c r="X139">
        <v>53.809872919999997</v>
      </c>
      <c r="Y139">
        <v>17.766414449999999</v>
      </c>
      <c r="Z139">
        <v>62.786632590000004</v>
      </c>
      <c r="AA139">
        <v>13.9189931</v>
      </c>
    </row>
    <row r="140" spans="2:27" x14ac:dyDescent="0.2">
      <c r="B140">
        <v>54.102600000000002</v>
      </c>
      <c r="C140">
        <v>14.8718</v>
      </c>
      <c r="D140">
        <v>82.110557979999996</v>
      </c>
      <c r="E140">
        <v>1.2105516629999999</v>
      </c>
      <c r="F140">
        <v>57.049801819999999</v>
      </c>
      <c r="G140">
        <v>10.50813694</v>
      </c>
      <c r="H140">
        <v>50.253006720000002</v>
      </c>
      <c r="I140">
        <v>11.30208425</v>
      </c>
      <c r="J140">
        <v>42.195266150000002</v>
      </c>
      <c r="K140">
        <v>20.919372190000001</v>
      </c>
      <c r="L140">
        <v>38.76427889</v>
      </c>
      <c r="M140">
        <v>14.365590470000001</v>
      </c>
      <c r="N140">
        <v>51.856299970000002</v>
      </c>
      <c r="O140">
        <v>21.96908401</v>
      </c>
      <c r="P140">
        <v>50.711378539999998</v>
      </c>
      <c r="Q140">
        <v>17.088315850000001</v>
      </c>
      <c r="R140">
        <v>60.755789139999997</v>
      </c>
      <c r="S140">
        <v>17.03323151</v>
      </c>
      <c r="T140">
        <v>58.636765080000004</v>
      </c>
      <c r="U140">
        <v>11.974721069999999</v>
      </c>
      <c r="V140">
        <v>59.632610120000002</v>
      </c>
      <c r="W140">
        <v>7.0580371990000002</v>
      </c>
      <c r="X140">
        <v>59.852678279999999</v>
      </c>
      <c r="Y140">
        <v>9.0399499209999998</v>
      </c>
      <c r="Z140">
        <v>66.817679220000002</v>
      </c>
      <c r="AA140">
        <v>11.412497159999999</v>
      </c>
    </row>
    <row r="141" spans="2:27" x14ac:dyDescent="0.2">
      <c r="B141">
        <v>56.153799999999997</v>
      </c>
      <c r="C141">
        <v>14.102600000000001</v>
      </c>
      <c r="D141">
        <v>38.302005809999997</v>
      </c>
      <c r="E141">
        <v>60.017785789999998</v>
      </c>
      <c r="F141">
        <v>54.854630950000001</v>
      </c>
      <c r="G141">
        <v>10.46391519</v>
      </c>
      <c r="H141">
        <v>50.474141119999999</v>
      </c>
      <c r="I141">
        <v>12.46199667</v>
      </c>
      <c r="J141">
        <v>36.60557824</v>
      </c>
      <c r="K141">
        <v>15.748875890000001</v>
      </c>
      <c r="L141">
        <v>41.470142330000002</v>
      </c>
      <c r="M141">
        <v>17.278033440000002</v>
      </c>
      <c r="N141">
        <v>55.952888629999997</v>
      </c>
      <c r="O141">
        <v>16.789757600000002</v>
      </c>
      <c r="P141">
        <v>50.812744899999998</v>
      </c>
      <c r="Q141">
        <v>16.572718049999999</v>
      </c>
      <c r="R141">
        <v>54.761156120000003</v>
      </c>
      <c r="S141">
        <v>16.3661891</v>
      </c>
      <c r="T141">
        <v>54.730289089999999</v>
      </c>
      <c r="U141">
        <v>11.41288267</v>
      </c>
      <c r="V141">
        <v>61.618568250000003</v>
      </c>
      <c r="W141">
        <v>13.410822720000001</v>
      </c>
      <c r="X141">
        <v>48.175656789999998</v>
      </c>
      <c r="Y141">
        <v>19.521215349999999</v>
      </c>
      <c r="Z141">
        <v>66.755021409999998</v>
      </c>
      <c r="AA141">
        <v>18.085305139999999</v>
      </c>
    </row>
    <row r="142" spans="2:27" x14ac:dyDescent="0.2">
      <c r="B142">
        <v>52.051299999999998</v>
      </c>
      <c r="C142">
        <v>12.5641</v>
      </c>
      <c r="D142">
        <v>56.584153020000002</v>
      </c>
      <c r="E142">
        <v>70.512514809999999</v>
      </c>
      <c r="F142">
        <v>54.924842560000002</v>
      </c>
      <c r="G142">
        <v>10.49833194</v>
      </c>
      <c r="H142">
        <v>50.108439969999999</v>
      </c>
      <c r="I142">
        <v>18.259044339999999</v>
      </c>
      <c r="J142">
        <v>39.431161209999999</v>
      </c>
      <c r="K142">
        <v>19.323840749999999</v>
      </c>
      <c r="L142">
        <v>47.15540481</v>
      </c>
      <c r="M142">
        <v>22.377932529999999</v>
      </c>
      <c r="N142">
        <v>51.663786260000002</v>
      </c>
      <c r="O142">
        <v>19.9251252</v>
      </c>
      <c r="P142">
        <v>51.014232960000001</v>
      </c>
      <c r="Q142">
        <v>17.221095529999999</v>
      </c>
      <c r="R142">
        <v>53.569904999999999</v>
      </c>
      <c r="S142">
        <v>16.339712550000002</v>
      </c>
      <c r="T142">
        <v>65.875547800000007</v>
      </c>
      <c r="U142">
        <v>11.732436359999999</v>
      </c>
      <c r="V142">
        <v>48.833989129999999</v>
      </c>
      <c r="W142">
        <v>17.72595587</v>
      </c>
      <c r="X142">
        <v>50.741719070000002</v>
      </c>
      <c r="Y142">
        <v>17.838405609999999</v>
      </c>
      <c r="Z142">
        <v>65.415528390000006</v>
      </c>
      <c r="AA142">
        <v>10.463512209999999</v>
      </c>
    </row>
    <row r="143" spans="2:27" x14ac:dyDescent="0.2">
      <c r="B143">
        <v>48.7179</v>
      </c>
      <c r="C143">
        <v>11.025600000000001</v>
      </c>
      <c r="D143">
        <v>33.339374290000002</v>
      </c>
      <c r="E143">
        <v>0.50910673500000003</v>
      </c>
      <c r="F143">
        <v>63.309554030000001</v>
      </c>
      <c r="G143">
        <v>10.48881424</v>
      </c>
      <c r="H143">
        <v>49.919058249999999</v>
      </c>
      <c r="I143">
        <v>3.716853886</v>
      </c>
      <c r="J143">
        <v>37.562076339999997</v>
      </c>
      <c r="K143">
        <v>11.928445699999999</v>
      </c>
      <c r="L143">
        <v>39.582566749999998</v>
      </c>
      <c r="M143">
        <v>17.648452840000001</v>
      </c>
      <c r="N143">
        <v>45.859669320000002</v>
      </c>
      <c r="O143">
        <v>17.128903680000001</v>
      </c>
      <c r="P143">
        <v>50.353521409999999</v>
      </c>
      <c r="Q143">
        <v>17.06474308</v>
      </c>
      <c r="R143">
        <v>48.914618240000003</v>
      </c>
      <c r="S143">
        <v>16.798637079999999</v>
      </c>
      <c r="T143">
        <v>57.060982709999998</v>
      </c>
      <c r="U143">
        <v>9.9205608539999997</v>
      </c>
      <c r="V143">
        <v>45.34265319</v>
      </c>
      <c r="W143">
        <v>13.90881239</v>
      </c>
      <c r="X143">
        <v>58.459761299999997</v>
      </c>
      <c r="Y143">
        <v>14.148662849999999</v>
      </c>
      <c r="Z143">
        <v>36.946331440000002</v>
      </c>
      <c r="AA143">
        <v>13.5143775</v>
      </c>
    </row>
    <row r="144" spans="2:27" x14ac:dyDescent="0.2">
      <c r="B144">
        <v>47.179499999999997</v>
      </c>
      <c r="C144">
        <v>9.8718000000000004</v>
      </c>
      <c r="D144">
        <v>78.774239039999998</v>
      </c>
      <c r="E144">
        <v>35.484101209999999</v>
      </c>
      <c r="F144">
        <v>49.749498410000001</v>
      </c>
      <c r="G144">
        <v>10.48580291</v>
      </c>
      <c r="H144">
        <v>50.083664509999998</v>
      </c>
      <c r="I144">
        <v>10.235881900000001</v>
      </c>
      <c r="J144">
        <v>34.238110040000002</v>
      </c>
      <c r="K144">
        <v>13.713158229999999</v>
      </c>
      <c r="L144">
        <v>41.740243820000003</v>
      </c>
      <c r="M144">
        <v>17.829324310000001</v>
      </c>
      <c r="N144">
        <v>39.740379519999998</v>
      </c>
      <c r="O144">
        <v>18.741051410000001</v>
      </c>
      <c r="P144">
        <v>50.43552957</v>
      </c>
      <c r="Q144">
        <v>17.065168499999999</v>
      </c>
      <c r="R144">
        <v>52.64613731</v>
      </c>
      <c r="S144">
        <v>16.384836379999999</v>
      </c>
      <c r="T144">
        <v>46.819907950000001</v>
      </c>
      <c r="U144">
        <v>10.49465268</v>
      </c>
      <c r="V144">
        <v>42.41501229</v>
      </c>
      <c r="W144">
        <v>11.693781100000001</v>
      </c>
      <c r="X144">
        <v>50.114597519999997</v>
      </c>
      <c r="Y144">
        <v>1.7414617130000001</v>
      </c>
      <c r="Z144">
        <v>37.825434739999999</v>
      </c>
      <c r="AA144">
        <v>9.6010342949999998</v>
      </c>
    </row>
    <row r="145" spans="2:27" x14ac:dyDescent="0.2">
      <c r="B145">
        <v>46.153799999999997</v>
      </c>
      <c r="C145">
        <v>6.0255999999999998</v>
      </c>
      <c r="D145">
        <v>27.92264424</v>
      </c>
      <c r="E145">
        <v>25.986878180000001</v>
      </c>
      <c r="F145">
        <v>41.169310420000002</v>
      </c>
      <c r="G145">
        <v>10.49730024</v>
      </c>
      <c r="H145">
        <v>50.35226084</v>
      </c>
      <c r="I145">
        <v>12.46860053</v>
      </c>
      <c r="J145">
        <v>34.140941040000001</v>
      </c>
      <c r="K145">
        <v>4.5776613499999996</v>
      </c>
      <c r="L145">
        <v>39.311871889999999</v>
      </c>
      <c r="M145">
        <v>15.64071697</v>
      </c>
      <c r="N145">
        <v>52.811221639999999</v>
      </c>
      <c r="O145">
        <v>17.854988120000002</v>
      </c>
      <c r="P145">
        <v>50.63098196</v>
      </c>
      <c r="Q145">
        <v>17.076522350000001</v>
      </c>
      <c r="R145">
        <v>49.838492989999999</v>
      </c>
      <c r="S145">
        <v>16.676330279999998</v>
      </c>
      <c r="T145">
        <v>38.359394870000003</v>
      </c>
      <c r="U145">
        <v>13.43132262</v>
      </c>
      <c r="V145">
        <v>58.934765059999997</v>
      </c>
      <c r="W145">
        <v>9.3692012190000007</v>
      </c>
      <c r="X145">
        <v>45.420382080000003</v>
      </c>
      <c r="Y145">
        <v>5.3724089949999998</v>
      </c>
      <c r="Z145">
        <v>36.722837939999998</v>
      </c>
      <c r="AA145">
        <v>9.3333021069999997</v>
      </c>
    </row>
    <row r="146" spans="2:27" x14ac:dyDescent="0.2">
      <c r="B146">
        <v>50.512799999999999</v>
      </c>
      <c r="C146">
        <v>9.4871999999999996</v>
      </c>
      <c r="D146">
        <v>71.697865120000003</v>
      </c>
      <c r="E146">
        <v>10.86814451</v>
      </c>
      <c r="F146">
        <v>46.688340500000002</v>
      </c>
      <c r="G146">
        <v>10.50753214</v>
      </c>
      <c r="H146">
        <v>50.497572239999997</v>
      </c>
      <c r="I146">
        <v>7.4096252339999999</v>
      </c>
      <c r="J146">
        <v>36.659267700000001</v>
      </c>
      <c r="K146">
        <v>17.68196446</v>
      </c>
      <c r="L146">
        <v>41.679847690000003</v>
      </c>
      <c r="M146">
        <v>17.745919010000001</v>
      </c>
      <c r="N146">
        <v>56.789104360000003</v>
      </c>
      <c r="O146">
        <v>17.306115519999999</v>
      </c>
      <c r="P146">
        <v>51.0668072</v>
      </c>
      <c r="Q146">
        <v>17.208859709999999</v>
      </c>
      <c r="R146">
        <v>52.684066399999999</v>
      </c>
      <c r="S146">
        <v>16.407962779999998</v>
      </c>
      <c r="T146">
        <v>47.315415780000002</v>
      </c>
      <c r="U146">
        <v>12.85345178</v>
      </c>
      <c r="V146">
        <v>60.68362604</v>
      </c>
      <c r="W146">
        <v>10.63264156</v>
      </c>
      <c r="X146">
        <v>51.353268200000002</v>
      </c>
      <c r="Y146">
        <v>0.303872421</v>
      </c>
      <c r="Z146">
        <v>67.073321780000001</v>
      </c>
      <c r="AA146">
        <v>6.0492145820000003</v>
      </c>
    </row>
    <row r="147" spans="2:27" x14ac:dyDescent="0.2">
      <c r="B147">
        <v>53.846200000000003</v>
      </c>
      <c r="C147">
        <v>10.256399999999999</v>
      </c>
      <c r="D147">
        <v>74.138331390000005</v>
      </c>
      <c r="E147">
        <v>49.173918980000003</v>
      </c>
      <c r="F147">
        <v>52.418921920000003</v>
      </c>
      <c r="G147">
        <v>10.495906359999999</v>
      </c>
      <c r="H147">
        <v>50.01630583</v>
      </c>
      <c r="I147">
        <v>16.253684790000001</v>
      </c>
      <c r="J147">
        <v>40.643719279999999</v>
      </c>
      <c r="K147">
        <v>20.240861370000001</v>
      </c>
      <c r="L147">
        <v>39.087464449999999</v>
      </c>
      <c r="M147">
        <v>15.12230394</v>
      </c>
      <c r="N147">
        <v>54.11453178</v>
      </c>
      <c r="O147">
        <v>17.67353439</v>
      </c>
      <c r="P147">
        <v>50.79235473</v>
      </c>
      <c r="Q147">
        <v>17.20421434</v>
      </c>
      <c r="R147">
        <v>65.807219029999999</v>
      </c>
      <c r="S147">
        <v>18.140764950000001</v>
      </c>
      <c r="T147">
        <v>55.051916540000001</v>
      </c>
      <c r="U147">
        <v>11.949988619999999</v>
      </c>
      <c r="V147">
        <v>54.811798369999998</v>
      </c>
      <c r="W147">
        <v>6.5696487030000004</v>
      </c>
      <c r="X147">
        <v>53.091704419999999</v>
      </c>
      <c r="Y147">
        <v>19.29003045</v>
      </c>
      <c r="Z147">
        <v>64.601818109999996</v>
      </c>
      <c r="AA147">
        <v>12.001916960000001</v>
      </c>
    </row>
    <row r="148" spans="2:27" x14ac:dyDescent="0.2">
      <c r="B148">
        <v>57.435899999999997</v>
      </c>
      <c r="C148">
        <v>10.256399999999999</v>
      </c>
      <c r="D148">
        <v>32.579020069999999</v>
      </c>
      <c r="E148">
        <v>1.808115597</v>
      </c>
      <c r="F148">
        <v>50.87848838</v>
      </c>
      <c r="G148">
        <v>10.50308987</v>
      </c>
      <c r="H148">
        <v>50.468221219999997</v>
      </c>
      <c r="I148">
        <v>13.356702459999999</v>
      </c>
      <c r="J148">
        <v>36.792481590000001</v>
      </c>
      <c r="K148">
        <v>13.39213473</v>
      </c>
      <c r="L148">
        <v>41.481502859999999</v>
      </c>
      <c r="M148">
        <v>18.047437439999999</v>
      </c>
      <c r="N148">
        <v>55.571119729999999</v>
      </c>
      <c r="O148">
        <v>17.369574579999998</v>
      </c>
      <c r="P148">
        <v>50.551278060000001</v>
      </c>
      <c r="Q148">
        <v>17.084655179999999</v>
      </c>
      <c r="R148">
        <v>60.67392092</v>
      </c>
      <c r="S148">
        <v>17.05180236</v>
      </c>
      <c r="T148">
        <v>50.51596026</v>
      </c>
      <c r="U148">
        <v>9.7655916220000005</v>
      </c>
      <c r="V148">
        <v>61.586842429999997</v>
      </c>
      <c r="W148">
        <v>11.02758584</v>
      </c>
      <c r="X148">
        <v>58.94316654</v>
      </c>
      <c r="Y148">
        <v>11.612877790000001</v>
      </c>
      <c r="Z148">
        <v>65.437282179999997</v>
      </c>
      <c r="AA148">
        <v>15.54538608</v>
      </c>
    </row>
    <row r="149" spans="2:27" x14ac:dyDescent="0.2">
      <c r="B149">
        <v>60</v>
      </c>
      <c r="C149">
        <v>10.641</v>
      </c>
      <c r="D149">
        <v>59.832185420000002</v>
      </c>
      <c r="E149">
        <v>69.152508139999995</v>
      </c>
      <c r="F149">
        <v>57.053306139999997</v>
      </c>
      <c r="G149">
        <v>10.51406924</v>
      </c>
      <c r="H149">
        <v>69.550678980000001</v>
      </c>
      <c r="I149">
        <v>9.0329875689999994</v>
      </c>
      <c r="J149">
        <v>75.948300639999999</v>
      </c>
      <c r="K149">
        <v>22.744795910000001</v>
      </c>
      <c r="L149">
        <v>77.606086550000001</v>
      </c>
      <c r="M149">
        <v>15.16287254</v>
      </c>
      <c r="N149">
        <v>65.306462499999995</v>
      </c>
      <c r="O149">
        <v>18.197354829999998</v>
      </c>
      <c r="P149">
        <v>50.55975806</v>
      </c>
      <c r="Q149">
        <v>17.093883770000001</v>
      </c>
      <c r="R149">
        <v>63.394712869999999</v>
      </c>
      <c r="S149">
        <v>17.70053514</v>
      </c>
      <c r="T149">
        <v>49.677414650000003</v>
      </c>
      <c r="U149">
        <v>10.383132509999999</v>
      </c>
      <c r="V149">
        <v>59.716007759999997</v>
      </c>
      <c r="W149">
        <v>11.519096859999999</v>
      </c>
      <c r="X149">
        <v>59.310990420000003</v>
      </c>
      <c r="Y149">
        <v>10.572136370000001</v>
      </c>
      <c r="Z149">
        <v>67.004022379999995</v>
      </c>
      <c r="AA149">
        <v>15.34582664</v>
      </c>
    </row>
    <row r="150" spans="2:27" x14ac:dyDescent="0.2">
      <c r="B150">
        <v>64.102599999999995</v>
      </c>
      <c r="C150">
        <v>10.641</v>
      </c>
      <c r="D150">
        <v>35.030628550000003</v>
      </c>
      <c r="E150">
        <v>12.53664934</v>
      </c>
      <c r="F150">
        <v>70.786451159999999</v>
      </c>
      <c r="G150">
        <v>10.51369504</v>
      </c>
      <c r="H150">
        <v>69.518672749999993</v>
      </c>
      <c r="I150">
        <v>15.18048643</v>
      </c>
      <c r="J150">
        <v>76.840692469999993</v>
      </c>
      <c r="K150">
        <v>20.918547220000001</v>
      </c>
      <c r="L150">
        <v>75.982661519999994</v>
      </c>
      <c r="M150">
        <v>16.30692238</v>
      </c>
      <c r="N150">
        <v>66.990749149999999</v>
      </c>
      <c r="O150">
        <v>17.222870650000001</v>
      </c>
      <c r="P150">
        <v>75.325978550000002</v>
      </c>
      <c r="Q150">
        <v>15.77189199</v>
      </c>
      <c r="R150">
        <v>64.80200945</v>
      </c>
      <c r="S150">
        <v>18.21687863</v>
      </c>
      <c r="T150">
        <v>67.28065952</v>
      </c>
      <c r="U150">
        <v>14.128651530000001</v>
      </c>
      <c r="V150">
        <v>58.416384010000002</v>
      </c>
      <c r="W150">
        <v>5.6457774829999998</v>
      </c>
      <c r="X150">
        <v>68.222198660000004</v>
      </c>
      <c r="Y150">
        <v>1.1338803660000001</v>
      </c>
      <c r="Z150">
        <v>66.724192070000001</v>
      </c>
      <c r="AA150">
        <v>5.2498054810000001</v>
      </c>
    </row>
    <row r="151" spans="2:27" x14ac:dyDescent="0.2">
      <c r="B151">
        <v>66.923100000000005</v>
      </c>
      <c r="C151">
        <v>10.641</v>
      </c>
      <c r="D151">
        <v>74.30011983</v>
      </c>
      <c r="E151">
        <v>42.47709459</v>
      </c>
      <c r="F151">
        <v>56.772149570000003</v>
      </c>
      <c r="G151">
        <v>10.50327235</v>
      </c>
      <c r="H151">
        <v>69.503457409999996</v>
      </c>
      <c r="I151">
        <v>16.87831327</v>
      </c>
      <c r="J151">
        <v>81.950477640000003</v>
      </c>
      <c r="K151">
        <v>19.87455821</v>
      </c>
      <c r="L151">
        <v>76.945757240000006</v>
      </c>
      <c r="M151">
        <v>15.858478330000001</v>
      </c>
      <c r="N151">
        <v>72.156718940000005</v>
      </c>
      <c r="O151">
        <v>16.814274789999999</v>
      </c>
      <c r="P151">
        <v>75.044725779999993</v>
      </c>
      <c r="Q151">
        <v>17.004262260000001</v>
      </c>
      <c r="R151">
        <v>65.025939809999997</v>
      </c>
      <c r="S151">
        <v>18.287824499999999</v>
      </c>
      <c r="T151">
        <v>66.173018260000006</v>
      </c>
      <c r="U151">
        <v>12.03791702</v>
      </c>
      <c r="V151">
        <v>59.24380953</v>
      </c>
      <c r="W151">
        <v>10.54014209</v>
      </c>
      <c r="X151">
        <v>62.51177199</v>
      </c>
      <c r="Y151">
        <v>7.4912324830000001</v>
      </c>
      <c r="Z151">
        <v>68.307618759999997</v>
      </c>
      <c r="AA151">
        <v>13.28091652</v>
      </c>
    </row>
    <row r="152" spans="2:27" x14ac:dyDescent="0.2">
      <c r="B152">
        <v>71.2821</v>
      </c>
      <c r="C152">
        <v>10.641</v>
      </c>
      <c r="D152">
        <v>63.250197059999998</v>
      </c>
      <c r="E152">
        <v>65.952486199999996</v>
      </c>
      <c r="F152">
        <v>75.477222019999999</v>
      </c>
      <c r="G152">
        <v>10.51856804</v>
      </c>
      <c r="H152">
        <v>69.499486829999995</v>
      </c>
      <c r="I152">
        <v>10.20782668</v>
      </c>
      <c r="J152">
        <v>81.643705690000004</v>
      </c>
      <c r="K152">
        <v>16.591759979999999</v>
      </c>
      <c r="L152">
        <v>77.543720070000006</v>
      </c>
      <c r="M152">
        <v>15.25394915</v>
      </c>
      <c r="N152">
        <v>70.980580399999994</v>
      </c>
      <c r="O152">
        <v>17.155752280000002</v>
      </c>
      <c r="P152">
        <v>75.287087720000002</v>
      </c>
      <c r="Q152">
        <v>16.174934910000001</v>
      </c>
      <c r="R152">
        <v>65.755551539999999</v>
      </c>
      <c r="S152">
        <v>18.51621583</v>
      </c>
      <c r="T152">
        <v>61.088544140000003</v>
      </c>
      <c r="U152">
        <v>10.08453441</v>
      </c>
      <c r="V152">
        <v>56.594364640000002</v>
      </c>
      <c r="W152">
        <v>8.9173440450000001</v>
      </c>
      <c r="X152">
        <v>69.380056359999998</v>
      </c>
      <c r="Y152">
        <v>1.488132333</v>
      </c>
      <c r="Z152">
        <v>68.768048280000002</v>
      </c>
      <c r="AA152">
        <v>13.52145655</v>
      </c>
    </row>
    <row r="153" spans="2:27" x14ac:dyDescent="0.2">
      <c r="B153">
        <v>74.358999999999995</v>
      </c>
      <c r="C153">
        <v>10.641</v>
      </c>
      <c r="D153">
        <v>34.173073760000001</v>
      </c>
      <c r="E153">
        <v>25.693674309999999</v>
      </c>
      <c r="F153">
        <v>76.765912150000005</v>
      </c>
      <c r="G153">
        <v>10.49699906</v>
      </c>
      <c r="H153">
        <v>69.527529680000001</v>
      </c>
      <c r="I153">
        <v>9.9922966659999997</v>
      </c>
      <c r="J153">
        <v>84.610219779999994</v>
      </c>
      <c r="K153">
        <v>14.2477619</v>
      </c>
      <c r="L153">
        <v>77.584739839999997</v>
      </c>
      <c r="M153">
        <v>15.83003939</v>
      </c>
      <c r="N153">
        <v>72.222082209999996</v>
      </c>
      <c r="O153">
        <v>19.369281699999998</v>
      </c>
      <c r="P153">
        <v>75.239969979999998</v>
      </c>
      <c r="Q153">
        <v>17.031847490000001</v>
      </c>
      <c r="R153">
        <v>69.967734120000003</v>
      </c>
      <c r="S153">
        <v>20.53898878</v>
      </c>
      <c r="T153">
        <v>66.053085769999996</v>
      </c>
      <c r="U153">
        <v>13.380226009999999</v>
      </c>
      <c r="V153">
        <v>68.492513220000006</v>
      </c>
      <c r="W153">
        <v>17.987363429999998</v>
      </c>
      <c r="X153">
        <v>82.800247870000007</v>
      </c>
      <c r="Y153">
        <v>18.529376240000001</v>
      </c>
      <c r="Z153">
        <v>74.167271749999998</v>
      </c>
      <c r="AA153">
        <v>5.349880873</v>
      </c>
    </row>
    <row r="154" spans="2:27" x14ac:dyDescent="0.2">
      <c r="B154">
        <v>78.205100000000002</v>
      </c>
      <c r="C154">
        <v>10.641</v>
      </c>
      <c r="D154">
        <v>40.913831930000001</v>
      </c>
      <c r="E154">
        <v>38.559019550000002</v>
      </c>
      <c r="F154">
        <v>77.621049130000003</v>
      </c>
      <c r="G154">
        <v>10.49587423</v>
      </c>
      <c r="H154">
        <v>69.51909526</v>
      </c>
      <c r="I154">
        <v>11.422685700000001</v>
      </c>
      <c r="J154">
        <v>84.102879430000002</v>
      </c>
      <c r="K154">
        <v>8.9806557900000001</v>
      </c>
      <c r="L154">
        <v>76.822304259999996</v>
      </c>
      <c r="M154">
        <v>15.59516532</v>
      </c>
      <c r="N154">
        <v>79.700158349999995</v>
      </c>
      <c r="O154">
        <v>20.740218370000001</v>
      </c>
      <c r="P154">
        <v>75.152459199999996</v>
      </c>
      <c r="Q154">
        <v>17.004942400000001</v>
      </c>
      <c r="R154">
        <v>68.892784019999993</v>
      </c>
      <c r="S154">
        <v>20.032448840000001</v>
      </c>
      <c r="T154">
        <v>72.669989270000002</v>
      </c>
      <c r="U154">
        <v>15.23422594</v>
      </c>
      <c r="V154">
        <v>65.005943169999995</v>
      </c>
      <c r="W154">
        <v>15.912668650000001</v>
      </c>
      <c r="X154">
        <v>85.160332179999997</v>
      </c>
      <c r="Y154">
        <v>15.01836954</v>
      </c>
      <c r="Z154">
        <v>64.900357970000002</v>
      </c>
      <c r="AA154">
        <v>16.245258369999998</v>
      </c>
    </row>
    <row r="155" spans="2:27" x14ac:dyDescent="0.2">
      <c r="B155">
        <v>67.948700000000002</v>
      </c>
      <c r="C155">
        <v>8.718</v>
      </c>
      <c r="D155">
        <v>62.833293089999998</v>
      </c>
      <c r="E155">
        <v>62.510894229999998</v>
      </c>
      <c r="F155">
        <v>65.414487050000005</v>
      </c>
      <c r="G155">
        <v>10.681840129999999</v>
      </c>
      <c r="H155">
        <v>69.561899429999997</v>
      </c>
      <c r="I155">
        <v>15.99980379</v>
      </c>
      <c r="J155">
        <v>80.180025450000002</v>
      </c>
      <c r="K155">
        <v>19.088844129999998</v>
      </c>
      <c r="L155">
        <v>77.348571660000005</v>
      </c>
      <c r="M155">
        <v>15.77452924</v>
      </c>
      <c r="N155">
        <v>64.249160649999993</v>
      </c>
      <c r="O155">
        <v>14.91396246</v>
      </c>
      <c r="P155">
        <v>75.961840089999995</v>
      </c>
      <c r="Q155">
        <v>16.694842229999999</v>
      </c>
      <c r="R155">
        <v>61.826546559999997</v>
      </c>
      <c r="S155">
        <v>17.269655449999998</v>
      </c>
      <c r="T155">
        <v>61.503472500000001</v>
      </c>
      <c r="U155">
        <v>10.828414479999999</v>
      </c>
      <c r="V155">
        <v>63.921036710000003</v>
      </c>
      <c r="W155">
        <v>15.62096103</v>
      </c>
      <c r="X155">
        <v>67.095847699999993</v>
      </c>
      <c r="Y155">
        <v>0.60149094199999997</v>
      </c>
      <c r="Z155">
        <v>68.763433550000002</v>
      </c>
      <c r="AA155">
        <v>8.7005729439999993</v>
      </c>
    </row>
    <row r="156" spans="2:27" x14ac:dyDescent="0.2">
      <c r="B156">
        <v>68.461500000000001</v>
      </c>
      <c r="C156">
        <v>5.2564000000000002</v>
      </c>
      <c r="D156">
        <v>42.476792379999999</v>
      </c>
      <c r="E156">
        <v>56.731289969999999</v>
      </c>
      <c r="F156">
        <v>69.964780500000003</v>
      </c>
      <c r="G156">
        <v>10.507232930000001</v>
      </c>
      <c r="H156">
        <v>69.501044519999994</v>
      </c>
      <c r="I156">
        <v>5.9558335390000003</v>
      </c>
      <c r="J156">
        <v>80.573272990000007</v>
      </c>
      <c r="K156">
        <v>8.3656389020000006</v>
      </c>
      <c r="L156">
        <v>77.573152690000001</v>
      </c>
      <c r="M156">
        <v>14.780645829999999</v>
      </c>
      <c r="N156">
        <v>66.943291430000002</v>
      </c>
      <c r="O156">
        <v>20.189132499999999</v>
      </c>
      <c r="P156">
        <v>75.44806251</v>
      </c>
      <c r="Q156">
        <v>17.045149410000001</v>
      </c>
      <c r="R156">
        <v>60.787970080000001</v>
      </c>
      <c r="S156">
        <v>17.04620486</v>
      </c>
      <c r="T156">
        <v>68.995028629999993</v>
      </c>
      <c r="U156">
        <v>13.99431053</v>
      </c>
      <c r="V156">
        <v>53.512970539999998</v>
      </c>
      <c r="W156">
        <v>5.8751095280000003</v>
      </c>
      <c r="X156">
        <v>62.307750570000003</v>
      </c>
      <c r="Y156">
        <v>5.7499747189999999</v>
      </c>
      <c r="Z156">
        <v>66.816913920000005</v>
      </c>
      <c r="AA156">
        <v>12.27329434</v>
      </c>
    </row>
    <row r="157" spans="2:27" x14ac:dyDescent="0.2">
      <c r="B157">
        <v>68.205100000000002</v>
      </c>
      <c r="C157">
        <v>2.9487000000000001</v>
      </c>
      <c r="D157">
        <v>52.033456280000003</v>
      </c>
      <c r="E157">
        <v>64.566662030000003</v>
      </c>
      <c r="F157">
        <v>64.96973826</v>
      </c>
      <c r="G157">
        <v>10.482159510000001</v>
      </c>
      <c r="H157">
        <v>69.524635979999999</v>
      </c>
      <c r="I157">
        <v>2.7347601699999999</v>
      </c>
      <c r="J157">
        <v>79.004326860000006</v>
      </c>
      <c r="K157">
        <v>10.62819777</v>
      </c>
      <c r="L157">
        <v>77.972610680000003</v>
      </c>
      <c r="M157">
        <v>14.95569875</v>
      </c>
      <c r="N157">
        <v>66.941676659999999</v>
      </c>
      <c r="O157">
        <v>18.24350939</v>
      </c>
      <c r="P157">
        <v>75.759383819999996</v>
      </c>
      <c r="Q157">
        <v>16.94292965</v>
      </c>
      <c r="R157">
        <v>61.91560964</v>
      </c>
      <c r="S157">
        <v>17.282191220000001</v>
      </c>
      <c r="T157">
        <v>78.249916170000006</v>
      </c>
      <c r="U157">
        <v>17.883240910000001</v>
      </c>
      <c r="V157">
        <v>57.832806269999999</v>
      </c>
      <c r="W157">
        <v>9.2223846229999999</v>
      </c>
      <c r="X157">
        <v>59.97041505</v>
      </c>
      <c r="Y157">
        <v>7.9133104740000002</v>
      </c>
      <c r="Z157">
        <v>67.309346649999995</v>
      </c>
      <c r="AA157">
        <v>0.21700627</v>
      </c>
    </row>
    <row r="158" spans="2:27" x14ac:dyDescent="0.2">
      <c r="B158">
        <v>37.692300000000003</v>
      </c>
      <c r="C158">
        <v>25.769200000000001</v>
      </c>
      <c r="D158">
        <v>48.907042959999998</v>
      </c>
      <c r="E158">
        <v>74.287748829999998</v>
      </c>
      <c r="F158">
        <v>38.050240780000003</v>
      </c>
      <c r="G158">
        <v>30.407946030000002</v>
      </c>
      <c r="H158">
        <v>30.499593709999999</v>
      </c>
      <c r="I158">
        <v>26.085561569999999</v>
      </c>
      <c r="J158">
        <v>40.048186469999997</v>
      </c>
      <c r="K158">
        <v>24.261487930000001</v>
      </c>
      <c r="L158">
        <v>41.528919760000001</v>
      </c>
      <c r="M158">
        <v>24.916425189999998</v>
      </c>
      <c r="N158">
        <v>39.648266649999997</v>
      </c>
      <c r="O158">
        <v>22.73136637</v>
      </c>
      <c r="P158">
        <v>50.378262300000003</v>
      </c>
      <c r="Q158">
        <v>16.94627981</v>
      </c>
      <c r="R158">
        <v>45.028997529999998</v>
      </c>
      <c r="S158">
        <v>17.724447300000001</v>
      </c>
      <c r="T158">
        <v>36.481980569999997</v>
      </c>
      <c r="U158">
        <v>15.162760090000001</v>
      </c>
      <c r="V158">
        <v>31.032917439999999</v>
      </c>
      <c r="W158">
        <v>28.928141889999999</v>
      </c>
      <c r="X158">
        <v>39.911635169999997</v>
      </c>
      <c r="Y158">
        <v>32.14402261</v>
      </c>
      <c r="Z158">
        <v>34.731829310000002</v>
      </c>
      <c r="AA158">
        <v>19.601795070000001</v>
      </c>
    </row>
    <row r="159" spans="2:27" x14ac:dyDescent="0.2">
      <c r="B159">
        <v>39.487200000000001</v>
      </c>
      <c r="C159">
        <v>25.384599999999999</v>
      </c>
      <c r="D159">
        <v>59.851838389999998</v>
      </c>
      <c r="E159">
        <v>72.958390969999996</v>
      </c>
      <c r="F159">
        <v>42.224120220000003</v>
      </c>
      <c r="G159">
        <v>30.498037159999999</v>
      </c>
      <c r="H159">
        <v>30.487391710000001</v>
      </c>
      <c r="I159">
        <v>19.779470369999999</v>
      </c>
      <c r="J159">
        <v>34.794593540000001</v>
      </c>
      <c r="K159">
        <v>13.969683460000001</v>
      </c>
      <c r="L159">
        <v>43.7225508</v>
      </c>
      <c r="M159">
        <v>19.077327799999999</v>
      </c>
      <c r="N159">
        <v>37.949783689999997</v>
      </c>
      <c r="O159">
        <v>26.521749230000001</v>
      </c>
      <c r="P159">
        <v>50.533635009999998</v>
      </c>
      <c r="Q159">
        <v>17.019581370000001</v>
      </c>
      <c r="R159">
        <v>39.921362809999998</v>
      </c>
      <c r="S159">
        <v>19.70184953</v>
      </c>
      <c r="T159">
        <v>50.967748380000003</v>
      </c>
      <c r="U159">
        <v>29.679774290000001</v>
      </c>
      <c r="V159">
        <v>31.333244090000001</v>
      </c>
      <c r="W159">
        <v>32.53856948</v>
      </c>
      <c r="X159">
        <v>39.596500980000002</v>
      </c>
      <c r="Y159">
        <v>32.136131730000002</v>
      </c>
      <c r="Z159">
        <v>33.674442149999997</v>
      </c>
      <c r="AA159">
        <v>26.090490209999999</v>
      </c>
    </row>
    <row r="160" spans="2:27" x14ac:dyDescent="0.2">
      <c r="B160">
        <v>91.2821</v>
      </c>
      <c r="C160">
        <v>41.538499999999999</v>
      </c>
      <c r="D160">
        <v>48.9604602</v>
      </c>
      <c r="E160">
        <v>72.629525729999997</v>
      </c>
      <c r="F160">
        <v>87.698464290000004</v>
      </c>
      <c r="G160">
        <v>50.489936530000001</v>
      </c>
      <c r="H160">
        <v>89.500180470000004</v>
      </c>
      <c r="I160">
        <v>31.97891744</v>
      </c>
      <c r="J160">
        <v>79.221764440000001</v>
      </c>
      <c r="K160">
        <v>22.094591479999998</v>
      </c>
      <c r="L160">
        <v>79.326078179999996</v>
      </c>
      <c r="M160">
        <v>52.900391290000002</v>
      </c>
      <c r="N160">
        <v>86.504390560000004</v>
      </c>
      <c r="O160">
        <v>34.894025290000002</v>
      </c>
      <c r="P160">
        <v>77.500907319999996</v>
      </c>
      <c r="Q160">
        <v>50.166985949999997</v>
      </c>
      <c r="R160">
        <v>84.794277879999996</v>
      </c>
      <c r="S160">
        <v>55.56865037</v>
      </c>
      <c r="T160">
        <v>91.191053609999997</v>
      </c>
      <c r="U160">
        <v>46.674342840000001</v>
      </c>
      <c r="V160">
        <v>86.401549849999995</v>
      </c>
      <c r="W160">
        <v>38.746933169999998</v>
      </c>
      <c r="X160">
        <v>95.593416399999995</v>
      </c>
      <c r="Y160">
        <v>33.2341294</v>
      </c>
      <c r="Z160">
        <v>75.627255020000007</v>
      </c>
      <c r="AA160">
        <v>37.128751950000002</v>
      </c>
    </row>
    <row r="161" spans="2:27" x14ac:dyDescent="0.2">
      <c r="B161">
        <v>50</v>
      </c>
      <c r="C161">
        <v>95.769199999999998</v>
      </c>
      <c r="D161">
        <v>46.844855170000002</v>
      </c>
      <c r="E161">
        <v>36.791713690000002</v>
      </c>
      <c r="F161">
        <v>52.360331070000001</v>
      </c>
      <c r="G161">
        <v>89.704317009999997</v>
      </c>
      <c r="H161">
        <v>50.410271629999997</v>
      </c>
      <c r="I161">
        <v>98.62836944</v>
      </c>
      <c r="J161">
        <v>36.030879769999999</v>
      </c>
      <c r="K161">
        <v>93.121733239999998</v>
      </c>
      <c r="L161">
        <v>56.663974080000003</v>
      </c>
      <c r="M161">
        <v>87.940125010000003</v>
      </c>
      <c r="N161">
        <v>50.815485359999997</v>
      </c>
      <c r="O161">
        <v>78.950838809999993</v>
      </c>
      <c r="P161">
        <v>50.691124189999996</v>
      </c>
      <c r="Q161">
        <v>87.513960420000004</v>
      </c>
      <c r="R161">
        <v>55.662958740000001</v>
      </c>
      <c r="S161">
        <v>83.356479620000002</v>
      </c>
      <c r="T161">
        <v>55.863768489999998</v>
      </c>
      <c r="U161">
        <v>85.33648676</v>
      </c>
      <c r="V161">
        <v>47.44211164</v>
      </c>
      <c r="W161">
        <v>98.184301860000005</v>
      </c>
      <c r="X161">
        <v>52.772288109999998</v>
      </c>
      <c r="Y161">
        <v>99.613471680000004</v>
      </c>
      <c r="Z161">
        <v>40.610125420000003</v>
      </c>
      <c r="AA161">
        <v>89.136239869999997</v>
      </c>
    </row>
    <row r="162" spans="2:27" x14ac:dyDescent="0.2">
      <c r="B162">
        <v>47.948700000000002</v>
      </c>
      <c r="C162">
        <v>95</v>
      </c>
      <c r="D162">
        <v>39.963021580000003</v>
      </c>
      <c r="E162">
        <v>42.944914850000004</v>
      </c>
      <c r="F162">
        <v>51.406786789999998</v>
      </c>
      <c r="G162">
        <v>89.712138550000006</v>
      </c>
      <c r="H162">
        <v>50.325924389999997</v>
      </c>
      <c r="I162">
        <v>94.994630849999993</v>
      </c>
      <c r="J162">
        <v>34.499558309999998</v>
      </c>
      <c r="K162">
        <v>86.609985050000006</v>
      </c>
      <c r="L162">
        <v>57.82178923</v>
      </c>
      <c r="M162">
        <v>90.693166550000001</v>
      </c>
      <c r="N162">
        <v>51.183466660000001</v>
      </c>
      <c r="O162">
        <v>85.128854649999994</v>
      </c>
      <c r="P162">
        <v>49.990394950000002</v>
      </c>
      <c r="Q162">
        <v>83.997356920000001</v>
      </c>
      <c r="R162">
        <v>50.492247509999999</v>
      </c>
      <c r="S162">
        <v>78.997532070000005</v>
      </c>
      <c r="T162">
        <v>49.280594800000003</v>
      </c>
      <c r="U162">
        <v>84.048822830000006</v>
      </c>
      <c r="V162">
        <v>46.26474134</v>
      </c>
      <c r="W162">
        <v>94.116192159999997</v>
      </c>
      <c r="X162">
        <v>53.178614449999998</v>
      </c>
      <c r="Y162">
        <v>98.603861190000003</v>
      </c>
      <c r="Z162">
        <v>39.114366449999999</v>
      </c>
      <c r="AA162">
        <v>96.481751320000001</v>
      </c>
    </row>
    <row r="163" spans="2:27" x14ac:dyDescent="0.2">
      <c r="B163">
        <v>44.102600000000002</v>
      </c>
      <c r="C163">
        <v>92.692300000000003</v>
      </c>
      <c r="D163">
        <v>66.704943999999998</v>
      </c>
      <c r="E163">
        <v>32.015095430000002</v>
      </c>
      <c r="F163">
        <v>43.588468470000002</v>
      </c>
      <c r="G163">
        <v>89.745536549999997</v>
      </c>
      <c r="H163">
        <v>50.104031499999998</v>
      </c>
      <c r="I163">
        <v>95.088538020000001</v>
      </c>
      <c r="J163">
        <v>31.10686656</v>
      </c>
      <c r="K163">
        <v>89.461635240000007</v>
      </c>
      <c r="L163">
        <v>58.2431719</v>
      </c>
      <c r="M163">
        <v>92.104327870000006</v>
      </c>
      <c r="N163">
        <v>40.863855229999999</v>
      </c>
      <c r="O163">
        <v>82.926145300000002</v>
      </c>
      <c r="P163">
        <v>50.12718203</v>
      </c>
      <c r="Q163">
        <v>82.990750000000006</v>
      </c>
      <c r="R163">
        <v>51.467101139999997</v>
      </c>
      <c r="S163">
        <v>79.201844579999999</v>
      </c>
      <c r="T163">
        <v>43.368501539999997</v>
      </c>
      <c r="U163">
        <v>84.332177200000004</v>
      </c>
      <c r="V163">
        <v>40.163815739999997</v>
      </c>
      <c r="W163">
        <v>87.448672349999995</v>
      </c>
      <c r="X163">
        <v>37.627053459999999</v>
      </c>
      <c r="Y163">
        <v>93.060672949999997</v>
      </c>
      <c r="Z163">
        <v>34.583828930000003</v>
      </c>
      <c r="AA163">
        <v>89.588901989999997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Exercise 9</vt:lpstr>
      <vt:lpstr>Exercise 10 (a-c)</vt:lpstr>
      <vt:lpstr>Exercise 10 (d-h)</vt:lpstr>
      <vt:lpstr>Exercise 11</vt:lpstr>
      <vt:lpstr>'Exercise 9'!tut2_data1</vt:lpstr>
      <vt:lpstr>'Exercise 10 (a-c)'!tut2_data2a</vt:lpstr>
      <vt:lpstr>'Exercise 10 (d-h)'!tut2_data2b</vt:lpstr>
      <vt:lpstr>'Exercise 11'!tut2_data3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Steckles</dc:creator>
  <cp:lastModifiedBy>Katie Steckles</cp:lastModifiedBy>
  <dcterms:created xsi:type="dcterms:W3CDTF">2026-02-10T13:40:11Z</dcterms:created>
  <dcterms:modified xsi:type="dcterms:W3CDTF">2026-02-16T12:09:17Z</dcterms:modified>
</cp:coreProperties>
</file>