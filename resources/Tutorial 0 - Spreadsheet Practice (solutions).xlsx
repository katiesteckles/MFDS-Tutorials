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55130566/Documents/Teaching Content/Maths for Data Science/Tutorial Content/"/>
    </mc:Choice>
  </mc:AlternateContent>
  <xr:revisionPtr revIDLastSave="0" documentId="13_ncr:1_{71937066-642A-9C42-ABC7-6F8EB755BA5C}" xr6:coauthVersionLast="47" xr6:coauthVersionMax="47" xr10:uidLastSave="{00000000-0000-0000-0000-000000000000}"/>
  <bookViews>
    <workbookView xWindow="0" yWindow="760" windowWidth="30240" windowHeight="17100" xr2:uid="{A829DC27-3655-5B43-950C-310622157006}"/>
  </bookViews>
  <sheets>
    <sheet name="Task 1" sheetId="5" r:id="rId1"/>
    <sheet name="Table 1" sheetId="6" r:id="rId2"/>
    <sheet name="Table 2" sheetId="2" r:id="rId3"/>
    <sheet name="Task 2" sheetId="3" r:id="rId4"/>
    <sheet name="Task 3" sheetId="4" r:id="rId5"/>
  </sheets>
  <definedNames>
    <definedName name="_xlnm._FilterDatabase" localSheetId="1" hidden="1">'Table 1'!$B$2:$J$12</definedName>
    <definedName name="_xlnm._FilterDatabase" localSheetId="2" hidden="1">'Table 2'!$F$156:$J$307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4" l="1"/>
  <c r="J9" i="4"/>
  <c r="J10" i="4"/>
  <c r="J11" i="4"/>
  <c r="J12" i="4"/>
  <c r="J13" i="4"/>
  <c r="J14" i="4"/>
  <c r="J8" i="4"/>
  <c r="I8" i="4"/>
  <c r="I9" i="4"/>
  <c r="I10" i="4"/>
  <c r="I11" i="4"/>
  <c r="I12" i="4"/>
  <c r="I13" i="4"/>
  <c r="I14" i="4"/>
  <c r="D24" i="4"/>
  <c r="D22" i="4"/>
  <c r="I20" i="3"/>
  <c r="J20" i="3"/>
  <c r="K20" i="3"/>
  <c r="L20" i="3"/>
  <c r="M20" i="3"/>
  <c r="N20" i="3"/>
  <c r="I21" i="3"/>
  <c r="J21" i="3"/>
  <c r="K21" i="3"/>
  <c r="L21" i="3"/>
  <c r="M21" i="3"/>
  <c r="N21" i="3"/>
  <c r="I22" i="3"/>
  <c r="J22" i="3"/>
  <c r="K22" i="3"/>
  <c r="L22" i="3"/>
  <c r="M22" i="3"/>
  <c r="N22" i="3"/>
  <c r="I23" i="3"/>
  <c r="J23" i="3"/>
  <c r="K23" i="3"/>
  <c r="L23" i="3"/>
  <c r="M23" i="3"/>
  <c r="N23" i="3"/>
  <c r="I24" i="3"/>
  <c r="J24" i="3"/>
  <c r="K24" i="3"/>
  <c r="L24" i="3"/>
  <c r="M24" i="3"/>
  <c r="N24" i="3"/>
  <c r="I25" i="3"/>
  <c r="J25" i="3"/>
  <c r="K25" i="3"/>
  <c r="L25" i="3"/>
  <c r="M25" i="3"/>
  <c r="N25" i="3"/>
  <c r="J19" i="3"/>
  <c r="K19" i="3"/>
  <c r="L19" i="3"/>
  <c r="M19" i="3"/>
  <c r="N19" i="3"/>
  <c r="I19" i="3"/>
  <c r="K9" i="3"/>
  <c r="K10" i="3"/>
  <c r="K11" i="3"/>
  <c r="K12" i="3"/>
  <c r="K8" i="3"/>
  <c r="D25" i="3"/>
  <c r="D23" i="3"/>
  <c r="D21" i="3"/>
  <c r="J188" i="2"/>
  <c r="J244" i="2"/>
  <c r="J160" i="2"/>
  <c r="J161" i="2"/>
  <c r="J162" i="2"/>
  <c r="J163" i="2"/>
  <c r="J164" i="2"/>
  <c r="J165" i="2"/>
  <c r="J166" i="2"/>
  <c r="J167" i="2"/>
  <c r="J168" i="2"/>
  <c r="J249" i="2"/>
  <c r="J189" i="2"/>
  <c r="J158" i="2"/>
  <c r="J172" i="2"/>
  <c r="J173" i="2"/>
  <c r="J174" i="2"/>
  <c r="J175" i="2"/>
  <c r="J176" i="2"/>
  <c r="J177" i="2"/>
  <c r="J178" i="2"/>
  <c r="J170" i="2"/>
  <c r="J157" i="2"/>
  <c r="J181" i="2"/>
  <c r="J182" i="2"/>
  <c r="J183" i="2"/>
  <c r="J184" i="2"/>
  <c r="J200" i="2"/>
  <c r="J204" i="2"/>
  <c r="J199" i="2"/>
  <c r="J201" i="2"/>
  <c r="J205" i="2"/>
  <c r="J198" i="2"/>
  <c r="J191" i="2"/>
  <c r="J192" i="2"/>
  <c r="J193" i="2"/>
  <c r="J194" i="2"/>
  <c r="J195" i="2"/>
  <c r="J196" i="2"/>
  <c r="J266" i="2"/>
  <c r="J185" i="2"/>
  <c r="J225" i="2"/>
  <c r="J180" i="2"/>
  <c r="J248" i="2"/>
  <c r="J202" i="2"/>
  <c r="J203" i="2"/>
  <c r="J229" i="2"/>
  <c r="J228" i="2"/>
  <c r="J206" i="2"/>
  <c r="J207" i="2"/>
  <c r="J208" i="2"/>
  <c r="J209" i="2"/>
  <c r="J210" i="2"/>
  <c r="J211" i="2"/>
  <c r="J212" i="2"/>
  <c r="J213" i="2"/>
  <c r="J214" i="2"/>
  <c r="J215" i="2"/>
  <c r="J216" i="2"/>
  <c r="J217" i="2"/>
  <c r="J218" i="2"/>
  <c r="J219" i="2"/>
  <c r="J220" i="2"/>
  <c r="J221" i="2"/>
  <c r="J222" i="2"/>
  <c r="J223" i="2"/>
  <c r="J224" i="2"/>
  <c r="J159" i="2"/>
  <c r="J250" i="2"/>
  <c r="J245" i="2"/>
  <c r="J226" i="2"/>
  <c r="J227" i="2"/>
  <c r="J230" i="2"/>
  <c r="J231" i="2"/>
  <c r="J232" i="2"/>
  <c r="J233" i="2"/>
  <c r="J234" i="2"/>
  <c r="J235" i="2"/>
  <c r="J236" i="2"/>
  <c r="J237" i="2"/>
  <c r="J238" i="2"/>
  <c r="J239" i="2"/>
  <c r="J240" i="2"/>
  <c r="J241" i="2"/>
  <c r="J242" i="2"/>
  <c r="J243" i="2"/>
  <c r="J186" i="2"/>
  <c r="J197" i="2"/>
  <c r="J246" i="2"/>
  <c r="J247" i="2"/>
  <c r="J171" i="2"/>
  <c r="J187" i="2"/>
  <c r="J179" i="2"/>
  <c r="J251" i="2"/>
  <c r="J252" i="2"/>
  <c r="J253" i="2"/>
  <c r="J254" i="2"/>
  <c r="J255" i="2"/>
  <c r="J256" i="2"/>
  <c r="J257" i="2"/>
  <c r="J258" i="2"/>
  <c r="J259" i="2"/>
  <c r="J260" i="2"/>
  <c r="J261" i="2"/>
  <c r="J262" i="2"/>
  <c r="J263" i="2"/>
  <c r="J264" i="2"/>
  <c r="J190" i="2"/>
  <c r="J265"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169" i="2"/>
  <c r="I24" i="6"/>
  <c r="I23" i="6"/>
  <c r="I22" i="6"/>
  <c r="I21" i="6"/>
  <c r="I20" i="6"/>
  <c r="I19" i="6"/>
  <c r="I18" i="6"/>
  <c r="I17" i="6"/>
  <c r="I16" i="6"/>
  <c r="I15" i="6"/>
</calcChain>
</file>

<file path=xl/sharedStrings.xml><?xml version="1.0" encoding="utf-8"?>
<sst xmlns="http://schemas.openxmlformats.org/spreadsheetml/2006/main" count="875" uniqueCount="313">
  <si>
    <t>Bulbasaur</t>
  </si>
  <si>
    <t>Grass</t>
  </si>
  <si>
    <t>Poison</t>
  </si>
  <si>
    <t>Ivysaur</t>
  </si>
  <si>
    <t>Venusaur</t>
  </si>
  <si>
    <t>Charmander</t>
  </si>
  <si>
    <t>Fire</t>
  </si>
  <si>
    <t>Charmeleon</t>
  </si>
  <si>
    <t>Charizard</t>
  </si>
  <si>
    <t>Squirtle</t>
  </si>
  <si>
    <t>Water</t>
  </si>
  <si>
    <t>Wartortle</t>
  </si>
  <si>
    <t>Blastoise</t>
  </si>
  <si>
    <t>Caterpie</t>
  </si>
  <si>
    <t>Bug</t>
  </si>
  <si>
    <t>Metapod</t>
  </si>
  <si>
    <t>Butterfree</t>
  </si>
  <si>
    <t>Weedle</t>
  </si>
  <si>
    <t>Kakuna</t>
  </si>
  <si>
    <t>Beedrill</t>
  </si>
  <si>
    <t>Pidgey</t>
  </si>
  <si>
    <t>Normal</t>
  </si>
  <si>
    <t>Pidgeotto</t>
  </si>
  <si>
    <t>Pidgeot</t>
  </si>
  <si>
    <t>Rattata</t>
  </si>
  <si>
    <t>Raticate</t>
  </si>
  <si>
    <t>Spearow</t>
  </si>
  <si>
    <t>Fearow</t>
  </si>
  <si>
    <t>Ekans</t>
  </si>
  <si>
    <t>Arbok</t>
  </si>
  <si>
    <t>Pikachu</t>
  </si>
  <si>
    <t>Electric</t>
  </si>
  <si>
    <t>Raichu</t>
  </si>
  <si>
    <t>Sandshrew</t>
  </si>
  <si>
    <t>Ground</t>
  </si>
  <si>
    <t>Sandslash</t>
  </si>
  <si>
    <t>Nidoran♀</t>
  </si>
  <si>
    <t>Nidorina</t>
  </si>
  <si>
    <t>Nidoqueen</t>
  </si>
  <si>
    <t>Nidoran♂</t>
  </si>
  <si>
    <t>Nidorino</t>
  </si>
  <si>
    <t>Nidoking</t>
  </si>
  <si>
    <t>Clefairy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</si>
  <si>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</si>
  <si>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</si>
  <si>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</si>
  <si>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</si>
  <si>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</si>
  <si>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</si>
  <si>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</si>
  <si>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</si>
  <si>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</si>
  <si>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</si>
  <si>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</si>
  <si>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</si>
  <si>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</si>
  <si>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</si>
  <si>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</si>
  <si>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</si>
  <si>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</si>
  <si>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</si>
  <si>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</si>
  <si>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</si>
  <si>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</si>
  <si>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</si>
  <si>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</si>
  <si>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</si>
  <si>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</si>
  <si>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</si>
  <si>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</si>
  <si>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</si>
  <si>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</si>
  <si>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</si>
  <si>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</si>
  <si>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</si>
  <si>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</si>
  <si>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</si>
  <si>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</si>
  <si>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</si>
  <si>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</si>
  <si>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</si>
  <si>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</si>
  <si>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Tentacruel</t>
  </si>
  <si>
    <t>Geodude</t>
  </si>
  <si>
    <t>Graveler</t>
  </si>
  <si>
    <t>Golem</t>
  </si>
  <si>
    <t>Ponyta</t>
  </si>
  <si>
    <t>Rapidash</t>
  </si>
  <si>
    <t>Slowpoke</t>
  </si>
  <si>
    <t>Slowbro</t>
  </si>
  <si>
    <t>Magnemite</t>
  </si>
  <si>
    <t>Magneton</t>
  </si>
  <si>
    <t>Farfetch'd</t>
  </si>
  <si>
    <t>Doduo</t>
  </si>
  <si>
    <t>Dodrio</t>
  </si>
  <si>
    <t>Seel</t>
  </si>
  <si>
    <t>Dewgong</t>
  </si>
  <si>
    <t>Grimer</t>
  </si>
  <si>
    <t>Muk</t>
  </si>
  <si>
    <t>Shellder</t>
  </si>
  <si>
    <t>Cloyster</t>
  </si>
  <si>
    <t>Gastly</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</si>
  <si>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</si>
  <si>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</si>
  <si>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</si>
  <si>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</si>
  <si>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</si>
  <si>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</si>
  <si>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</si>
  <si>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</si>
  <si>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</si>
  <si>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</si>
  <si>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</si>
  <si>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</si>
  <si>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</si>
  <si>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</si>
  <si>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</si>
  <si>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</si>
  <si>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</si>
  <si>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</si>
  <si>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</si>
  <si>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</si>
  <si>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</si>
  <si>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</si>
  <si>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</si>
  <si>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</si>
  <si>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</si>
  <si>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</si>
  <si>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</si>
  <si>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</si>
  <si>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</si>
  <si>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</si>
  <si>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</si>
  <si>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</si>
  <si>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</si>
  <si>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</si>
  <si>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</si>
  <si>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</si>
  <si>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</si>
  <si>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</si>
  <si>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</si>
  <si>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</si>
  <si>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</si>
  <si>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</si>
  <si>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</si>
  <si>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</si>
  <si>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</si>
  <si>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</si>
  <si>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</si>
  <si>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</si>
  <si>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</si>
  <si>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</si>
  <si>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</si>
  <si>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</si>
  <si>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</si>
  <si>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</si>
  <si>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</si>
  <si>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t>
  </si>
  <si>
    <t>Dragonair</t>
  </si>
  <si>
    <t>Dragonite</t>
  </si>
  <si>
    <t>Mewtwo</t>
  </si>
  <si>
    <t>Mew</t>
  </si>
  <si>
    <t>Fairy</t>
  </si>
  <si>
    <t>Grass, Poison</t>
  </si>
  <si>
    <t>Fire, Flying</t>
  </si>
  <si>
    <t>Bug, Flying</t>
  </si>
  <si>
    <t>Bug, Poison</t>
  </si>
  <si>
    <t>Normal, Flying</t>
  </si>
  <si>
    <t>Poison, Ground</t>
  </si>
  <si>
    <t>Poison, Flying</t>
  </si>
  <si>
    <t>Bug, Grass</t>
  </si>
  <si>
    <t>Water, Fighting</t>
  </si>
  <si>
    <t>Water, Poison</t>
  </si>
  <si>
    <t>Rock, Ground</t>
  </si>
  <si>
    <t>Water, Psychic</t>
  </si>
  <si>
    <t>Water, Ice</t>
  </si>
  <si>
    <t>Ghost, Poison</t>
  </si>
  <si>
    <t>Grass, Psychic</t>
  </si>
  <si>
    <t>Ground, Rock</t>
  </si>
  <si>
    <t>Ice, Psychic</t>
  </si>
  <si>
    <t>Water, Flying</t>
  </si>
  <si>
    <t>Rock, Water</t>
  </si>
  <si>
    <t>Rock, Flying</t>
  </si>
  <si>
    <t>Ice, Flying</t>
  </si>
  <si>
    <t>Electric, Flying</t>
  </si>
  <si>
    <t>Dragon, Flying</t>
  </si>
  <si>
    <t>Pokemon Name</t>
  </si>
  <si>
    <t>Types</t>
  </si>
  <si>
    <t>The Shawshank Redemption</t>
  </si>
  <si>
    <t>The Godfather</t>
  </si>
  <si>
    <t>The Dark Knight</t>
  </si>
  <si>
    <t>The Godfather Part II</t>
  </si>
  <si>
    <t>12 Angry Men</t>
  </si>
  <si>
    <t>The Lord of the Rings: The Return of the King</t>
  </si>
  <si>
    <t>Schindler's List</t>
  </si>
  <si>
    <t>The Lord of the Rings: The Fellowship of the Ring</t>
  </si>
  <si>
    <t>Pulp Fiction</t>
  </si>
  <si>
    <t>The Good, the Bad and the Ugly</t>
  </si>
  <si>
    <t>Film Title</t>
  </si>
  <si>
    <t>IMDB Ranking</t>
  </si>
  <si>
    <t>Release Year</t>
  </si>
  <si>
    <t>Length</t>
  </si>
  <si>
    <t>Rating</t>
  </si>
  <si>
    <t>Rating (/10)</t>
  </si>
  <si>
    <t>Number of ratings</t>
  </si>
  <si>
    <t>3.1M</t>
  </si>
  <si>
    <t>2.2M</t>
  </si>
  <si>
    <t>1.5M</t>
  </si>
  <si>
    <t>970K</t>
  </si>
  <si>
    <t>2.1M</t>
  </si>
  <si>
    <t>1.6M</t>
  </si>
  <si>
    <t>2.4M</t>
  </si>
  <si>
    <t>882K</t>
  </si>
  <si>
    <t>1. Go to the tab 'Table 1' and sort the films into release order using the 'Data' &gt; 'Sort' tool.</t>
  </si>
  <si>
    <t>3. Go to the table 'Table 2' and create a filter on the table there. Use it to sort the table alphabetically by 'Pokemon Name'.</t>
  </si>
  <si>
    <t>4. Use your filter to find all the Pokemon whose type includes 'Poison'.</t>
  </si>
  <si>
    <t>5. Clear your filter, then use the 'Text to columns' tool to make this table have an additional column, which is blank if the Pokemon has only one type, and contains its second type otherwise. Head these columns 'Type 1' and 'Type 2'.</t>
  </si>
  <si>
    <t>U</t>
  </si>
  <si>
    <t>15</t>
  </si>
  <si>
    <t>12A</t>
  </si>
  <si>
    <t>X</t>
  </si>
  <si>
    <t>PG</t>
  </si>
  <si>
    <t>18</t>
  </si>
  <si>
    <t>2. Now sort the table by the number of ratings each film received. (You may need to make some edits to the data in order to do this.)</t>
  </si>
  <si>
    <t>2h 22m</t>
  </si>
  <si>
    <t>2h 55m</t>
  </si>
  <si>
    <t>2h 32m</t>
  </si>
  <si>
    <t>3h 22m</t>
  </si>
  <si>
    <t>1h 36m</t>
  </si>
  <si>
    <t>3h 21m</t>
  </si>
  <si>
    <t>3h 15m</t>
  </si>
  <si>
    <t>2h 58m</t>
  </si>
  <si>
    <t>2h 34m</t>
  </si>
  <si>
    <t>2h 28m</t>
  </si>
  <si>
    <t>For this task, you can write a formula in the first cell and drag the square handle on the cell to fill it down the whole column.</t>
  </si>
  <si>
    <t>7. Go back to both tables and add formatting to make it clear where the header row is, resize the columns to sensible sizes and put borders around the tables/cells.</t>
  </si>
  <si>
    <t>8. For Table 2,  use Conditional Formatting to make cells containing the word 'Fire' turn red. Repeat this for other types if desired.</t>
  </si>
  <si>
    <t>Sales</t>
  </si>
  <si>
    <t>Order #</t>
  </si>
  <si>
    <t>Item</t>
  </si>
  <si>
    <t>Items</t>
  </si>
  <si>
    <t>Cost</t>
  </si>
  <si>
    <t>Chairs</t>
  </si>
  <si>
    <t>Binders</t>
  </si>
  <si>
    <t>Tables</t>
  </si>
  <si>
    <t>Machines</t>
  </si>
  <si>
    <t>Phones</t>
  </si>
  <si>
    <t>Envelopes</t>
  </si>
  <si>
    <t>Furnishings</t>
  </si>
  <si>
    <t>Storage</t>
  </si>
  <si>
    <t>Paper</t>
  </si>
  <si>
    <t>Total:</t>
  </si>
  <si>
    <t>Number of orders:</t>
  </si>
  <si>
    <t>Cost of most expensive order:</t>
  </si>
  <si>
    <t>You could use the =sum() function</t>
  </si>
  <si>
    <t>You could use the =count() function</t>
  </si>
  <si>
    <t>You could use the =max() function</t>
  </si>
  <si>
    <t>Hints:</t>
  </si>
  <si>
    <t>Squares</t>
  </si>
  <si>
    <t>Square Name</t>
  </si>
  <si>
    <t>Colour</t>
  </si>
  <si>
    <t>Area (m²)</t>
  </si>
  <si>
    <t>Side length (m)</t>
  </si>
  <si>
    <t>Red Square</t>
  </si>
  <si>
    <t>red</t>
  </si>
  <si>
    <t>yellow</t>
  </si>
  <si>
    <t>Leicester Square</t>
  </si>
  <si>
    <t>Trafalgar Square</t>
  </si>
  <si>
    <t>St. Peter's Square</t>
  </si>
  <si>
    <t>grey</t>
  </si>
  <si>
    <t>You could use the =sqrt() function</t>
  </si>
  <si>
    <t>Hint:</t>
  </si>
  <si>
    <t>St. Anne's Square</t>
  </si>
  <si>
    <t>Number of containers</t>
  </si>
  <si>
    <t>Container size (m³)</t>
  </si>
  <si>
    <t>Filling the formula will create a new formula in each cell, with the references modified so it's the same relative to the cell you're in. To stop it changing the value, you can use $ symbols in front of the two parts of the cell reference.</t>
  </si>
  <si>
    <t xml:space="preserve">For example, if you put B$2, and drag it over a range, the number 2 will stay the same. If you put $B2, the B will stay the same. You can put $B$2 if you always want to refer to cell B2. </t>
  </si>
  <si>
    <t>Each cell will need to have the number of containers (from the top of the column) multiplied by the container size (from the start of the row).</t>
  </si>
  <si>
    <t>You could write a formula for this in the first cell, then drag it across and down - but check if it's worked…! What are the resulting formulae?</t>
  </si>
  <si>
    <t>Total spent on binders:</t>
  </si>
  <si>
    <t>Number of orders for binders:</t>
  </si>
  <si>
    <t>You could use the =countif() function</t>
  </si>
  <si>
    <t>You could use the =sumif() function</t>
  </si>
  <si>
    <t>Order lookup</t>
  </si>
  <si>
    <t>The =vlookup() function will be helpful here.</t>
  </si>
  <si>
    <t>You can use the order number as the lookup_value, and the table_array will be the three columns of the sales table. The col_index_num tells it which column to look up the values in. Set range_lookup to FALSE.</t>
  </si>
  <si>
    <t>Cost each</t>
  </si>
  <si>
    <t>Partridge</t>
  </si>
  <si>
    <t>Turtle Dove</t>
  </si>
  <si>
    <t>French Hen</t>
  </si>
  <si>
    <t>Calling Bird</t>
  </si>
  <si>
    <t>Gold Ring</t>
  </si>
  <si>
    <t>Geese</t>
  </si>
  <si>
    <t>Swans</t>
  </si>
  <si>
    <t>Maids</t>
  </si>
  <si>
    <t>Dancing ladies</t>
  </si>
  <si>
    <t>Leaping lords</t>
  </si>
  <si>
    <t>Pipers</t>
  </si>
  <si>
    <t>Drummers</t>
  </si>
  <si>
    <t># needed</t>
  </si>
  <si>
    <t>Total cost:</t>
  </si>
  <si>
    <t>You could do this by creating an extra column in the table. Or…</t>
  </si>
  <si>
    <t>You could use the =sumproduct() function, using the two columns of the table as input ranges.</t>
  </si>
  <si>
    <t>Enter formulae in the cells highlighted yellow to complete the tables. Click on the blue cells to see a hint in the formula bar, if you need one.</t>
  </si>
  <si>
    <t>6. Repeat step 4.</t>
  </si>
  <si>
    <t>Slightly different formula used for this call as it's thousands not millions</t>
  </si>
  <si>
    <t>Flying</t>
  </si>
  <si>
    <t>Rock</t>
  </si>
  <si>
    <t>Ice</t>
  </si>
  <si>
    <t>Ghost</t>
  </si>
  <si>
    <t>Is it poison?</t>
  </si>
  <si>
    <t>Type 1</t>
  </si>
  <si>
    <t>Type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</si>
</sst>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0"/>
    <numFmt numFmtId="167" formatCode="&quot;£&quot;#,##0.00"/>
  </numFmts>
  <fonts count="14">
    <font>
      <sz val="12"/>
      <color theme="1"/>
      <name val="Aptos Narrow"/>
      <family val="2"/>
      <scheme val="minor"/>
    </font>
    <font>
      <sz val="14"/>
      <color rgb="FF3A3A3A"/>
      <name val="Aptos"/>
    </font>
    <font>
      <sz val="14"/>
      <color theme="1"/>
      <name val="Aptos"/>
    </font>
    <font>
      <sz val="16"/>
      <color theme="1"/>
      <name val="Aptos Narrow"/>
      <family val="2"/>
      <scheme val="minor"/>
    </font>
    <font>
      <sz val="14"/>
      <color theme="1"/>
      <name val="Aptos Narrow"/>
      <scheme val="minor"/>
    </font>
    <font>
      <b/>
      <sz val="14"/>
      <color theme="1"/>
      <name val="Aptos Narrow"/>
      <scheme val="minor"/>
    </font>
    <font>
      <sz val="14"/>
      <color theme="3" tint="0.89999084444715716"/>
      <name val="Aptos Narrow"/>
      <scheme val="minor"/>
    </font>
    <font>
      <sz val="14"/>
      <name val="Aptos Narrow"/>
      <scheme val="minor"/>
    </font>
    <font>
      <sz val="14"/>
      <color theme="1"/>
      <name val="Aptos Narrow"/>
      <family val="2"/>
      <scheme val="minor"/>
    </font>
    <font>
      <sz val="14"/>
      <color theme="1"/>
      <name val="Helvetica"/>
      <family val="2"/>
    </font>
    <font>
      <b/>
      <sz val="14"/>
      <color rgb="FFFFFFFF"/>
      <name val="Helvetica"/>
      <family val="2"/>
    </font>
    <font>
      <sz val="14"/>
      <color rgb="FFFF0000"/>
      <name val="Aptos Narrow"/>
      <scheme val="minor"/>
    </font>
    <font>
      <b/>
      <sz val="14"/>
      <color theme="1"/>
      <name val="Aptos"/>
    </font>
    <font>
      <b/>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theme="1"/>
      </bottom>
      <diagonal/>
    </border>
    <border>
      <left style="thin">
        <color theme="1"/>
      </left>
      <right style="thin">
        <color theme="1"/>
      </right>
      <top style="thin">
        <color theme="1"/>
      </top>
      <bottom/>
      <diagonal/>
    </border>
    <border>
      <left/>
      <right/>
      <top style="thin">
        <color theme="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0" fillId="0" borderId="1" xfId="0" applyBorder="1"/>
    <xf numFmtId="0" fontId="3" fillId="0" borderId="1" xfId="0" applyFont="1" applyBorder="1" applyAlignment="1">
      <alignment vertical="top" wrapText="1"/>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xf numFmtId="0" fontId="4" fillId="0" borderId="2" xfId="0" applyFont="1" applyBorder="1"/>
    <xf numFmtId="0" fontId="5" fillId="0" borderId="2" xfId="0" applyFont="1" applyBorder="1"/>
    <xf numFmtId="166" fontId="4" fillId="0" borderId="2" xfId="0" applyNumberFormat="1" applyFont="1" applyBorder="1"/>
    <xf numFmtId="167" fontId="4" fillId="0" borderId="2" xfId="0" applyNumberFormat="1" applyFont="1" applyBorder="1"/>
    <xf numFmtId="3" fontId="4" fillId="0" borderId="2" xfId="0" applyNumberFormat="1" applyFont="1" applyBorder="1"/>
    <xf numFmtId="0" fontId="4" fillId="2" borderId="2" xfId="0" applyFont="1" applyFill="1" applyBorder="1"/>
    <xf numFmtId="0" fontId="6" fillId="3" borderId="0" xfId="0" applyFont="1" applyFill="1" applyAlignment="1">
      <alignment shrinkToFit="1"/>
    </xf>
    <xf numFmtId="0" fontId="4" fillId="0" borderId="7" xfId="0" applyFont="1" applyBorder="1"/>
    <xf numFmtId="3" fontId="4" fillId="0" borderId="7" xfId="0" applyNumberFormat="1" applyFont="1" applyBorder="1"/>
    <xf numFmtId="0" fontId="4" fillId="0" borderId="8" xfId="0" applyFont="1" applyBorder="1"/>
    <xf numFmtId="0" fontId="4" fillId="0" borderId="0" xfId="0" applyFont="1" applyAlignment="1">
      <alignment horizontal="right"/>
    </xf>
    <xf numFmtId="0" fontId="6" fillId="0" borderId="0" xfId="0" applyFont="1" applyAlignment="1">
      <alignment shrinkToFit="1"/>
    </xf>
    <xf numFmtId="0" fontId="7" fillId="2" borderId="2" xfId="0" applyFont="1" applyFill="1" applyBorder="1"/>
    <xf numFmtId="167" fontId="4" fillId="2" borderId="2" xfId="0" applyNumberFormat="1" applyFont="1" applyFill="1" applyBorder="1"/>
    <xf numFmtId="0" fontId="8" fillId="0" borderId="0" xfId="0" applyFont="1"/>
    <xf numFmtId="0" fontId="9" fillId="0" borderId="0" xfId="0" applyFont="1"/>
    <xf numFmtId="49" fontId="8" fillId="0" borderId="0" xfId="0" applyNumberFormat="1" applyFont="1"/>
    <xf numFmtId="2" fontId="8" fillId="0" borderId="0" xfId="0" applyNumberFormat="1" applyFont="1"/>
    <xf numFmtId="0" fontId="10" fillId="0" borderId="0" xfId="0" applyFont="1"/>
    <xf numFmtId="0" fontId="3" fillId="0" borderId="0" xfId="0" applyFont="1" applyAlignment="1">
      <alignment vertical="top"/>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4" fillId="0" borderId="6" xfId="0" applyFont="1" applyBorder="1" applyAlignment="1">
      <alignment horizontal="center" wrapText="1"/>
    </xf>
    <xf numFmtId="0" fontId="5" fillId="0" borderId="6" xfId="0" applyFont="1" applyBorder="1" applyAlignment="1">
      <alignment horizontal="center"/>
    </xf>
    <xf numFmtId="0" fontId="11" fillId="0" borderId="0" xfId="0" applyFont="1" applyFill="1"/>
    <xf numFmtId="49" fontId="11" fillId="0" borderId="0" xfId="0" applyNumberFormat="1" applyFont="1" applyFill="1"/>
    <xf numFmtId="0" fontId="11" fillId="0" borderId="0" xfId="0" applyFont="1" applyFill="1" applyAlignment="1">
      <alignment shrinkToFit="1"/>
    </xf>
    <xf numFmtId="0" fontId="12" fillId="0" borderId="9" xfId="0" applyFont="1" applyBorder="1"/>
    <xf numFmtId="49" fontId="12" fillId="0" borderId="9" xfId="0" applyNumberFormat="1" applyFont="1" applyBorder="1"/>
    <xf numFmtId="2" fontId="12" fillId="0" borderId="9" xfId="0" applyNumberFormat="1" applyFont="1" applyBorder="1"/>
    <xf numFmtId="0" fontId="13" fillId="0" borderId="9" xfId="0" applyFont="1" applyBorder="1"/>
    <xf numFmtId="0" fontId="2" fillId="0" borderId="9" xfId="0" applyFont="1" applyBorder="1"/>
    <xf numFmtId="165" fontId="8" fillId="0" borderId="9" xfId="0" applyNumberFormat="1" applyFont="1" applyBorder="1"/>
    <xf numFmtId="0" fontId="8" fillId="0" borderId="9" xfId="0" applyFont="1" applyBorder="1"/>
    <xf numFmtId="164" fontId="2" fillId="0" borderId="9" xfId="0" applyNumberFormat="1" applyFont="1" applyBorder="1"/>
    <xf numFmtId="49" fontId="2" fillId="0" borderId="9" xfId="0" applyNumberFormat="1" applyFont="1" applyBorder="1"/>
    <xf numFmtId="49" fontId="8" fillId="0" borderId="9" xfId="0" applyNumberFormat="1" applyFont="1" applyBorder="1"/>
    <xf numFmtId="0" fontId="1" fillId="0" borderId="9" xfId="0" applyFont="1" applyBorder="1"/>
    <xf numFmtId="2" fontId="4" fillId="2" borderId="2"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C586-BAC7-1840-8B5C-73B3B3C579E6}">
  <dimension ref="B3:B11"/>
  <sheetViews>
    <sheetView tabSelected="1" workbookViewId="0">
      <selection activeCell="B5" sqref="B5"/>
    </sheetView>
  </sheetViews>
  <sheetFormatPr baseColWidth="10" defaultRowHeight="16"/>
  <cols>
    <col min="1" max="1" width="5" style="3" customWidth="1"/>
    <col min="2" max="2" width="98.6640625" style="3" customWidth="1"/>
    <col min="3" max="16384" width="10.83203125" style="3"/>
  </cols>
  <sheetData>
    <row r="3" spans="2:2" ht="54" customHeight="1">
      <c r="B3" s="4" t="s">
        <v>213</v>
      </c>
    </row>
    <row r="4" spans="2:2" ht="61" customHeight="1">
      <c r="B4" s="4" t="s">
        <v>223</v>
      </c>
    </row>
    <row r="5" spans="2:2" ht="61" customHeight="1">
      <c r="B5" s="4" t="s">
        <v>214</v>
      </c>
    </row>
    <row r="6" spans="2:2" ht="47" customHeight="1">
      <c r="B6" s="4" t="s">
        <v>215</v>
      </c>
    </row>
    <row r="7" spans="2:2" ht="106" customHeight="1">
      <c r="B7" s="4" t="s">
        <v>216</v>
      </c>
    </row>
    <row r="8" spans="2:2" ht="61" customHeight="1">
      <c r="B8" s="4" t="s">
        <v>304</v>
      </c>
    </row>
    <row r="9" spans="2:2" ht="46">
      <c r="B9" s="4" t="s">
        <v>235</v>
      </c>
    </row>
    <row r="11" spans="2:2" ht="46">
      <c r="B11" s="4" t="s">
        <v>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7993-66F5-5942-90FA-04967AB40F4F}">
  <dimension ref="B2:J51"/>
  <sheetViews>
    <sheetView workbookViewId="0">
      <selection activeCell="I6" sqref="I6"/>
    </sheetView>
  </sheetViews>
  <sheetFormatPr baseColWidth="10" defaultRowHeight="19"/>
  <cols>
    <col min="1" max="1" width="10.83203125" style="22"/>
    <col min="2" max="2" width="14.83203125" style="22" customWidth="1"/>
    <col min="3" max="3" width="69.6640625" style="22" customWidth="1"/>
    <col min="4" max="5" width="14.33203125" style="22" customWidth="1"/>
    <col min="6" max="6" width="14.33203125" style="24" customWidth="1"/>
    <col min="7" max="7" width="14.33203125" style="25" customWidth="1"/>
    <col min="8" max="8" width="7.5" style="22" customWidth="1"/>
    <col min="9" max="16384" width="10.83203125" style="22"/>
  </cols>
  <sheetData>
    <row r="2" spans="2:10">
      <c r="B2" s="36" t="s">
        <v>199</v>
      </c>
      <c r="C2" s="36" t="s">
        <v>198</v>
      </c>
      <c r="D2" s="36" t="s">
        <v>200</v>
      </c>
      <c r="E2" s="36" t="s">
        <v>201</v>
      </c>
      <c r="F2" s="37" t="s">
        <v>202</v>
      </c>
      <c r="G2" s="38" t="s">
        <v>203</v>
      </c>
      <c r="H2" s="36" t="s">
        <v>204</v>
      </c>
      <c r="I2" s="33"/>
      <c r="J2" s="33"/>
    </row>
    <row r="3" spans="2:10">
      <c r="B3" s="40">
        <v>5</v>
      </c>
      <c r="C3" s="40" t="s">
        <v>192</v>
      </c>
      <c r="D3" s="40">
        <v>1957</v>
      </c>
      <c r="E3" s="41" t="s">
        <v>228</v>
      </c>
      <c r="F3" s="42" t="s">
        <v>217</v>
      </c>
      <c r="G3" s="43">
        <v>9</v>
      </c>
      <c r="H3" s="44" t="s">
        <v>208</v>
      </c>
      <c r="I3" s="34"/>
      <c r="J3" s="35"/>
    </row>
    <row r="4" spans="2:10">
      <c r="B4" s="40">
        <v>10</v>
      </c>
      <c r="C4" s="40" t="s">
        <v>197</v>
      </c>
      <c r="D4" s="40">
        <v>1966</v>
      </c>
      <c r="E4" s="41" t="s">
        <v>233</v>
      </c>
      <c r="F4" s="42" t="s">
        <v>222</v>
      </c>
      <c r="G4" s="40">
        <v>8.8000000000000007</v>
      </c>
      <c r="H4" s="44" t="s">
        <v>212</v>
      </c>
      <c r="I4" s="34"/>
      <c r="J4" s="35"/>
    </row>
    <row r="5" spans="2:10">
      <c r="B5" s="40">
        <v>2</v>
      </c>
      <c r="C5" s="40" t="s">
        <v>189</v>
      </c>
      <c r="D5" s="40">
        <v>1972</v>
      </c>
      <c r="E5" s="41" t="s">
        <v>225</v>
      </c>
      <c r="F5" s="42" t="s">
        <v>218</v>
      </c>
      <c r="G5" s="40">
        <v>9.1999999999999993</v>
      </c>
      <c r="H5" s="44" t="s">
        <v>206</v>
      </c>
      <c r="I5" s="34"/>
      <c r="J5" s="33"/>
    </row>
    <row r="6" spans="2:10">
      <c r="B6" s="40">
        <v>4</v>
      </c>
      <c r="C6" s="40" t="s">
        <v>191</v>
      </c>
      <c r="D6" s="40">
        <v>1974</v>
      </c>
      <c r="E6" s="41" t="s">
        <v>227</v>
      </c>
      <c r="F6" s="42" t="s">
        <v>220</v>
      </c>
      <c r="G6" s="43">
        <v>9</v>
      </c>
      <c r="H6" s="44" t="s">
        <v>207</v>
      </c>
      <c r="I6" s="34"/>
      <c r="J6" s="33"/>
    </row>
    <row r="7" spans="2:10">
      <c r="B7" s="40">
        <v>7</v>
      </c>
      <c r="C7" s="40" t="s">
        <v>194</v>
      </c>
      <c r="D7" s="40">
        <v>1993</v>
      </c>
      <c r="E7" s="41" t="s">
        <v>230</v>
      </c>
      <c r="F7" s="42" t="s">
        <v>218</v>
      </c>
      <c r="G7" s="43">
        <v>9</v>
      </c>
      <c r="H7" s="44" t="s">
        <v>210</v>
      </c>
      <c r="I7" s="34"/>
      <c r="J7" s="33"/>
    </row>
    <row r="8" spans="2:10">
      <c r="B8" s="40">
        <v>1</v>
      </c>
      <c r="C8" s="40" t="s">
        <v>188</v>
      </c>
      <c r="D8" s="40">
        <v>1994</v>
      </c>
      <c r="E8" s="41" t="s">
        <v>224</v>
      </c>
      <c r="F8" s="42" t="s">
        <v>218</v>
      </c>
      <c r="G8" s="43">
        <v>9.3000000000000007</v>
      </c>
      <c r="H8" s="44" t="s">
        <v>205</v>
      </c>
      <c r="I8" s="34"/>
      <c r="J8" s="33"/>
    </row>
    <row r="9" spans="2:10">
      <c r="B9" s="40">
        <v>9</v>
      </c>
      <c r="C9" s="40" t="s">
        <v>196</v>
      </c>
      <c r="D9" s="40">
        <v>1994</v>
      </c>
      <c r="E9" s="41" t="s">
        <v>232</v>
      </c>
      <c r="F9" s="42" t="s">
        <v>222</v>
      </c>
      <c r="G9" s="40">
        <v>8.8000000000000007</v>
      </c>
      <c r="H9" s="44" t="s">
        <v>211</v>
      </c>
      <c r="I9" s="34"/>
      <c r="J9" s="33"/>
    </row>
    <row r="10" spans="2:10">
      <c r="B10" s="40">
        <v>8</v>
      </c>
      <c r="C10" s="40" t="s">
        <v>195</v>
      </c>
      <c r="D10" s="40">
        <v>2001</v>
      </c>
      <c r="E10" s="41" t="s">
        <v>231</v>
      </c>
      <c r="F10" s="42" t="s">
        <v>221</v>
      </c>
      <c r="G10" s="40">
        <v>8.9</v>
      </c>
      <c r="H10" s="44" t="s">
        <v>206</v>
      </c>
      <c r="I10" s="34"/>
      <c r="J10" s="33"/>
    </row>
    <row r="11" spans="2:10">
      <c r="B11" s="40">
        <v>6</v>
      </c>
      <c r="C11" s="40" t="s">
        <v>193</v>
      </c>
      <c r="D11" s="40">
        <v>2003</v>
      </c>
      <c r="E11" s="41" t="s">
        <v>229</v>
      </c>
      <c r="F11" s="42" t="s">
        <v>219</v>
      </c>
      <c r="G11" s="43">
        <v>9</v>
      </c>
      <c r="H11" s="44" t="s">
        <v>209</v>
      </c>
      <c r="I11" s="34"/>
      <c r="J11" s="33"/>
    </row>
    <row r="12" spans="2:10">
      <c r="B12" s="40">
        <v>3</v>
      </c>
      <c r="C12" s="40" t="s">
        <v>190</v>
      </c>
      <c r="D12" s="40">
        <v>2008</v>
      </c>
      <c r="E12" s="41" t="s">
        <v>226</v>
      </c>
      <c r="F12" s="42" t="s">
        <v>219</v>
      </c>
      <c r="G12" s="40">
        <v>9.1</v>
      </c>
      <c r="H12" s="44" t="s">
        <v>205</v>
      </c>
      <c r="I12" s="34"/>
      <c r="J12" s="33"/>
    </row>
    <row r="14" spans="2:10">
      <c r="B14" s="36" t="s">
        <v>199</v>
      </c>
      <c r="C14" s="36" t="s">
        <v>198</v>
      </c>
      <c r="D14" s="36" t="s">
        <v>200</v>
      </c>
      <c r="E14" s="36" t="s">
        <v>201</v>
      </c>
      <c r="F14" s="37" t="s">
        <v>202</v>
      </c>
      <c r="G14" s="38" t="s">
        <v>203</v>
      </c>
      <c r="H14" s="36" t="s">
        <v>204</v>
      </c>
      <c r="I14" s="39"/>
    </row>
    <row r="15" spans="2:10">
      <c r="B15" s="40">
        <v>5</v>
      </c>
      <c r="C15" s="40" t="s">
        <v>192</v>
      </c>
      <c r="D15" s="40">
        <v>1957</v>
      </c>
      <c r="E15" s="41" t="s">
        <v>228</v>
      </c>
      <c r="F15" s="42" t="s">
        <v>217</v>
      </c>
      <c r="G15" s="43">
        <v>9</v>
      </c>
      <c r="H15" s="44" t="s">
        <v>208</v>
      </c>
      <c r="I15" s="45">
        <f>LEFT(H15, 3)*1000</f>
        <v>970000</v>
      </c>
      <c r="J15" s="14" t="s">
        <v>305</v>
      </c>
    </row>
    <row r="16" spans="2:10">
      <c r="B16" s="40">
        <v>10</v>
      </c>
      <c r="C16" s="40" t="s">
        <v>197</v>
      </c>
      <c r="D16" s="40">
        <v>1966</v>
      </c>
      <c r="E16" s="41" t="s">
        <v>233</v>
      </c>
      <c r="F16" s="42" t="s">
        <v>222</v>
      </c>
      <c r="G16" s="40">
        <v>8.8000000000000007</v>
      </c>
      <c r="H16" s="44" t="s">
        <v>212</v>
      </c>
      <c r="I16" s="45">
        <f>LEFT(H16, 3)*1000</f>
        <v>882000</v>
      </c>
      <c r="J16" s="14" t="s">
        <v>305</v>
      </c>
    </row>
    <row r="17" spans="2:9">
      <c r="B17" s="40">
        <v>2</v>
      </c>
      <c r="C17" s="40" t="s">
        <v>189</v>
      </c>
      <c r="D17" s="40">
        <v>1972</v>
      </c>
      <c r="E17" s="41" t="s">
        <v>225</v>
      </c>
      <c r="F17" s="42" t="s">
        <v>218</v>
      </c>
      <c r="G17" s="40">
        <v>9.1999999999999993</v>
      </c>
      <c r="H17" s="44" t="s">
        <v>206</v>
      </c>
      <c r="I17" s="45">
        <f>LEFT(H17,3)*1000000</f>
        <v>2200000</v>
      </c>
    </row>
    <row r="18" spans="2:9">
      <c r="B18" s="40">
        <v>4</v>
      </c>
      <c r="C18" s="40" t="s">
        <v>191</v>
      </c>
      <c r="D18" s="40">
        <v>1974</v>
      </c>
      <c r="E18" s="41" t="s">
        <v>227</v>
      </c>
      <c r="F18" s="42" t="s">
        <v>220</v>
      </c>
      <c r="G18" s="43">
        <v>9</v>
      </c>
      <c r="H18" s="44" t="s">
        <v>207</v>
      </c>
      <c r="I18" s="45">
        <f>LEFT(H18,3)*1000000</f>
        <v>1500000</v>
      </c>
    </row>
    <row r="19" spans="2:9">
      <c r="B19" s="40">
        <v>7</v>
      </c>
      <c r="C19" s="40" t="s">
        <v>194</v>
      </c>
      <c r="D19" s="40">
        <v>1993</v>
      </c>
      <c r="E19" s="41" t="s">
        <v>230</v>
      </c>
      <c r="F19" s="42" t="s">
        <v>218</v>
      </c>
      <c r="G19" s="43">
        <v>9</v>
      </c>
      <c r="H19" s="44" t="s">
        <v>210</v>
      </c>
      <c r="I19" s="45">
        <f>LEFT(H19,3)*1000000</f>
        <v>1600000</v>
      </c>
    </row>
    <row r="20" spans="2:9">
      <c r="B20" s="40">
        <v>1</v>
      </c>
      <c r="C20" s="40" t="s">
        <v>188</v>
      </c>
      <c r="D20" s="40">
        <v>1994</v>
      </c>
      <c r="E20" s="41" t="s">
        <v>224</v>
      </c>
      <c r="F20" s="42" t="s">
        <v>218</v>
      </c>
      <c r="G20" s="43">
        <v>9.3000000000000007</v>
      </c>
      <c r="H20" s="44" t="s">
        <v>205</v>
      </c>
      <c r="I20" s="45">
        <f>LEFT(H20,3)*1000000</f>
        <v>3100000</v>
      </c>
    </row>
    <row r="21" spans="2:9">
      <c r="B21" s="40">
        <v>9</v>
      </c>
      <c r="C21" s="40" t="s">
        <v>196</v>
      </c>
      <c r="D21" s="40">
        <v>1994</v>
      </c>
      <c r="E21" s="41" t="s">
        <v>232</v>
      </c>
      <c r="F21" s="42" t="s">
        <v>222</v>
      </c>
      <c r="G21" s="40">
        <v>8.8000000000000007</v>
      </c>
      <c r="H21" s="44" t="s">
        <v>211</v>
      </c>
      <c r="I21" s="45">
        <f>LEFT(H21,3)*1000000</f>
        <v>2400000</v>
      </c>
    </row>
    <row r="22" spans="2:9">
      <c r="B22" s="40">
        <v>8</v>
      </c>
      <c r="C22" s="40" t="s">
        <v>195</v>
      </c>
      <c r="D22" s="40">
        <v>2001</v>
      </c>
      <c r="E22" s="41" t="s">
        <v>231</v>
      </c>
      <c r="F22" s="42" t="s">
        <v>221</v>
      </c>
      <c r="G22" s="40">
        <v>8.9</v>
      </c>
      <c r="H22" s="44" t="s">
        <v>206</v>
      </c>
      <c r="I22" s="45">
        <f>LEFT(H22,3)*1000000</f>
        <v>2200000</v>
      </c>
    </row>
    <row r="23" spans="2:9">
      <c r="B23" s="40">
        <v>6</v>
      </c>
      <c r="C23" s="40" t="s">
        <v>193</v>
      </c>
      <c r="D23" s="40">
        <v>2003</v>
      </c>
      <c r="E23" s="41" t="s">
        <v>229</v>
      </c>
      <c r="F23" s="42" t="s">
        <v>219</v>
      </c>
      <c r="G23" s="43">
        <v>9</v>
      </c>
      <c r="H23" s="44" t="s">
        <v>209</v>
      </c>
      <c r="I23" s="45">
        <f>LEFT(H23,3)*1000000</f>
        <v>2100000</v>
      </c>
    </row>
    <row r="24" spans="2:9">
      <c r="B24" s="40">
        <v>3</v>
      </c>
      <c r="C24" s="40" t="s">
        <v>190</v>
      </c>
      <c r="D24" s="40">
        <v>2008</v>
      </c>
      <c r="E24" s="41" t="s">
        <v>226</v>
      </c>
      <c r="F24" s="42" t="s">
        <v>219</v>
      </c>
      <c r="G24" s="40">
        <v>9.1</v>
      </c>
      <c r="H24" s="44" t="s">
        <v>205</v>
      </c>
      <c r="I24" s="45">
        <f>LEFT(H24,3)*1000000</f>
        <v>3100000</v>
      </c>
    </row>
    <row r="26" spans="2:9">
      <c r="C26" s="23"/>
    </row>
    <row r="27" spans="2:9">
      <c r="C27" s="26"/>
    </row>
    <row r="30" spans="2:9">
      <c r="C30" s="23"/>
    </row>
    <row r="31" spans="2:9">
      <c r="C31" s="26"/>
    </row>
    <row r="34" spans="3:3">
      <c r="C34" s="23"/>
    </row>
    <row r="35" spans="3:3">
      <c r="C35" s="26"/>
    </row>
    <row r="38" spans="3:3">
      <c r="C38" s="23"/>
    </row>
    <row r="39" spans="3:3">
      <c r="C39" s="26"/>
    </row>
    <row r="42" spans="3:3">
      <c r="C42" s="23"/>
    </row>
    <row r="43" spans="3:3">
      <c r="C43" s="26"/>
    </row>
    <row r="46" spans="3:3">
      <c r="C46" s="23"/>
    </row>
    <row r="47" spans="3:3">
      <c r="C47" s="26"/>
    </row>
    <row r="50" spans="3:3">
      <c r="C50" s="23"/>
    </row>
    <row r="51" spans="3:3">
      <c r="C51" s="26"/>
    </row>
  </sheetData>
  <sortState xmlns:xlrd2="http://schemas.microsoft.com/office/spreadsheetml/2017/richdata2" ref="B3:H12">
    <sortCondition ref="D3:D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6AA6-F058-1147-ABC0-79FAF2E1A6F2}">
  <sheetPr filterMode="1"/>
  <dimension ref="B2:J307"/>
  <sheetViews>
    <sheetView topLeftCell="A147" workbookViewId="0">
      <selection activeCell="I157" sqref="I157"/>
    </sheetView>
  </sheetViews>
  <sheetFormatPr baseColWidth="10" defaultRowHeight="19"/>
  <cols>
    <col min="1" max="2" width="18.6640625" style="2" customWidth="1"/>
    <col min="3" max="3" width="20" style="2" bestFit="1" customWidth="1"/>
    <col min="4" max="4" width="17.33203125" style="2" bestFit="1" customWidth="1"/>
    <col min="5" max="6" width="10.83203125" style="2"/>
    <col min="7" max="7" width="17.5" style="2" bestFit="1" customWidth="1"/>
    <col min="8" max="16384" width="10.83203125" style="2"/>
  </cols>
  <sheetData>
    <row r="2" spans="2:5">
      <c r="B2" s="40"/>
      <c r="C2" s="36" t="s">
        <v>186</v>
      </c>
      <c r="D2" s="36" t="s">
        <v>187</v>
      </c>
    </row>
    <row r="3" spans="2:5">
      <c r="B3" s="46">
        <v>63</v>
      </c>
      <c r="C3" s="40" t="s">
        <v>71</v>
      </c>
      <c r="D3" s="46" t="s">
        <v>72</v>
      </c>
      <c r="E3" s="1"/>
    </row>
    <row r="4" spans="2:5">
      <c r="B4" s="46">
        <v>142</v>
      </c>
      <c r="C4" s="40" t="s">
        <v>151</v>
      </c>
      <c r="D4" s="46" t="s">
        <v>182</v>
      </c>
      <c r="E4" s="1"/>
    </row>
    <row r="5" spans="2:5">
      <c r="B5" s="46">
        <v>65</v>
      </c>
      <c r="C5" s="40" t="s">
        <v>74</v>
      </c>
      <c r="D5" s="46" t="s">
        <v>72</v>
      </c>
      <c r="E5" s="1"/>
    </row>
    <row r="6" spans="2:5">
      <c r="B6" s="46">
        <v>24</v>
      </c>
      <c r="C6" s="40" t="s">
        <v>29</v>
      </c>
      <c r="D6" s="46" t="s">
        <v>2</v>
      </c>
      <c r="E6" s="1"/>
    </row>
    <row r="7" spans="2:5">
      <c r="B7" s="46">
        <v>59</v>
      </c>
      <c r="C7" s="40" t="s">
        <v>67</v>
      </c>
      <c r="D7" s="46" t="s">
        <v>6</v>
      </c>
      <c r="E7" s="1"/>
    </row>
    <row r="8" spans="2:5">
      <c r="B8" s="46">
        <v>144</v>
      </c>
      <c r="C8" s="40" t="s">
        <v>153</v>
      </c>
      <c r="D8" s="46" t="s">
        <v>183</v>
      </c>
      <c r="E8" s="1"/>
    </row>
    <row r="9" spans="2:5">
      <c r="B9" s="46">
        <v>15</v>
      </c>
      <c r="C9" s="40" t="s">
        <v>19</v>
      </c>
      <c r="D9" s="46" t="s">
        <v>166</v>
      </c>
      <c r="E9" s="1"/>
    </row>
    <row r="10" spans="2:5">
      <c r="B10" s="46">
        <v>69</v>
      </c>
      <c r="C10" s="40" t="s">
        <v>78</v>
      </c>
      <c r="D10" s="46" t="s">
        <v>163</v>
      </c>
      <c r="E10" s="1"/>
    </row>
    <row r="11" spans="2:5">
      <c r="B11" s="46">
        <v>9</v>
      </c>
      <c r="C11" s="40" t="s">
        <v>12</v>
      </c>
      <c r="D11" s="46" t="s">
        <v>10</v>
      </c>
      <c r="E11" s="1"/>
    </row>
    <row r="12" spans="2:5">
      <c r="B12" s="46">
        <v>1</v>
      </c>
      <c r="C12" s="40" t="s">
        <v>0</v>
      </c>
      <c r="D12" s="46" t="s">
        <v>163</v>
      </c>
      <c r="E12" s="1"/>
    </row>
    <row r="13" spans="2:5">
      <c r="B13" s="46">
        <v>12</v>
      </c>
      <c r="C13" s="40" t="s">
        <v>16</v>
      </c>
      <c r="D13" s="46" t="s">
        <v>165</v>
      </c>
      <c r="E13" s="1"/>
    </row>
    <row r="14" spans="2:5">
      <c r="B14" s="46">
        <v>10</v>
      </c>
      <c r="C14" s="40" t="s">
        <v>13</v>
      </c>
      <c r="D14" s="46" t="s">
        <v>14</v>
      </c>
      <c r="E14" s="1"/>
    </row>
    <row r="15" spans="2:5">
      <c r="B15" s="46">
        <v>113</v>
      </c>
      <c r="C15" s="40" t="s">
        <v>122</v>
      </c>
      <c r="D15" s="46" t="s">
        <v>21</v>
      </c>
      <c r="E15" s="1"/>
    </row>
    <row r="16" spans="2:5">
      <c r="B16" s="46">
        <v>6</v>
      </c>
      <c r="C16" s="40" t="s">
        <v>8</v>
      </c>
      <c r="D16" s="46" t="s">
        <v>164</v>
      </c>
      <c r="E16" s="1"/>
    </row>
    <row r="17" spans="2:5">
      <c r="B17" s="46">
        <v>4</v>
      </c>
      <c r="C17" s="40" t="s">
        <v>5</v>
      </c>
      <c r="D17" s="46" t="s">
        <v>6</v>
      </c>
      <c r="E17" s="1"/>
    </row>
    <row r="18" spans="2:5">
      <c r="B18" s="46">
        <v>5</v>
      </c>
      <c r="C18" s="40" t="s">
        <v>7</v>
      </c>
      <c r="D18" s="46" t="s">
        <v>6</v>
      </c>
      <c r="E18" s="1"/>
    </row>
    <row r="19" spans="2:5">
      <c r="B19" s="46">
        <v>36</v>
      </c>
      <c r="C19" s="40" t="s">
        <v>43</v>
      </c>
      <c r="D19" s="46" t="s">
        <v>162</v>
      </c>
      <c r="E19" s="1"/>
    </row>
    <row r="20" spans="2:5">
      <c r="B20" s="46">
        <v>35</v>
      </c>
      <c r="C20" s="40" t="s">
        <v>42</v>
      </c>
      <c r="D20" s="46" t="s">
        <v>162</v>
      </c>
      <c r="E20" s="1"/>
    </row>
    <row r="21" spans="2:5">
      <c r="B21" s="46">
        <v>91</v>
      </c>
      <c r="C21" s="40" t="s">
        <v>100</v>
      </c>
      <c r="D21" s="46" t="s">
        <v>175</v>
      </c>
      <c r="E21" s="1"/>
    </row>
    <row r="22" spans="2:5">
      <c r="B22" s="46">
        <v>104</v>
      </c>
      <c r="C22" s="40" t="s">
        <v>113</v>
      </c>
      <c r="D22" s="46" t="s">
        <v>34</v>
      </c>
      <c r="E22" s="1"/>
    </row>
    <row r="23" spans="2:5">
      <c r="B23" s="46">
        <v>87</v>
      </c>
      <c r="C23" s="40" t="s">
        <v>96</v>
      </c>
      <c r="D23" s="46" t="s">
        <v>175</v>
      </c>
      <c r="E23" s="1"/>
    </row>
    <row r="24" spans="2:5">
      <c r="B24" s="46">
        <v>50</v>
      </c>
      <c r="C24" s="40" t="s">
        <v>57</v>
      </c>
      <c r="D24" s="46" t="s">
        <v>34</v>
      </c>
      <c r="E24" s="1"/>
    </row>
    <row r="25" spans="2:5">
      <c r="B25" s="46">
        <v>132</v>
      </c>
      <c r="C25" s="40" t="s">
        <v>141</v>
      </c>
      <c r="D25" s="46" t="s">
        <v>21</v>
      </c>
      <c r="E25" s="1"/>
    </row>
    <row r="26" spans="2:5">
      <c r="B26" s="46">
        <v>85</v>
      </c>
      <c r="C26" s="40" t="s">
        <v>94</v>
      </c>
      <c r="D26" s="46" t="s">
        <v>167</v>
      </c>
      <c r="E26" s="1"/>
    </row>
    <row r="27" spans="2:5">
      <c r="B27" s="46">
        <v>84</v>
      </c>
      <c r="C27" s="40" t="s">
        <v>93</v>
      </c>
      <c r="D27" s="46" t="s">
        <v>167</v>
      </c>
      <c r="E27" s="1"/>
    </row>
    <row r="28" spans="2:5">
      <c r="B28" s="46">
        <v>148</v>
      </c>
      <c r="C28" s="40" t="s">
        <v>158</v>
      </c>
      <c r="D28" s="46" t="s">
        <v>157</v>
      </c>
      <c r="E28" s="1"/>
    </row>
    <row r="29" spans="2:5">
      <c r="B29" s="46">
        <v>149</v>
      </c>
      <c r="C29" s="40" t="s">
        <v>159</v>
      </c>
      <c r="D29" s="46" t="s">
        <v>185</v>
      </c>
      <c r="E29" s="1"/>
    </row>
    <row r="30" spans="2:5">
      <c r="B30" s="46">
        <v>147</v>
      </c>
      <c r="C30" s="40" t="s">
        <v>156</v>
      </c>
      <c r="D30" s="46" t="s">
        <v>157</v>
      </c>
      <c r="E30" s="1"/>
    </row>
    <row r="31" spans="2:5">
      <c r="B31" s="46">
        <v>96</v>
      </c>
      <c r="C31" s="40" t="s">
        <v>105</v>
      </c>
      <c r="D31" s="46" t="s">
        <v>72</v>
      </c>
      <c r="E31" s="1"/>
    </row>
    <row r="32" spans="2:5">
      <c r="B32" s="46">
        <v>51</v>
      </c>
      <c r="C32" s="40" t="s">
        <v>58</v>
      </c>
      <c r="D32" s="46" t="s">
        <v>34</v>
      </c>
      <c r="E32" s="1"/>
    </row>
    <row r="33" spans="2:5">
      <c r="B33" s="46">
        <v>133</v>
      </c>
      <c r="C33" s="40" t="s">
        <v>142</v>
      </c>
      <c r="D33" s="46" t="s">
        <v>21</v>
      </c>
      <c r="E33" s="1"/>
    </row>
    <row r="34" spans="2:5">
      <c r="B34" s="46">
        <v>23</v>
      </c>
      <c r="C34" s="40" t="s">
        <v>28</v>
      </c>
      <c r="D34" s="46" t="s">
        <v>2</v>
      </c>
      <c r="E34" s="1"/>
    </row>
    <row r="35" spans="2:5">
      <c r="B35" s="46">
        <v>125</v>
      </c>
      <c r="C35" s="40" t="s">
        <v>134</v>
      </c>
      <c r="D35" s="46" t="s">
        <v>31</v>
      </c>
      <c r="E35" s="1"/>
    </row>
    <row r="36" spans="2:5">
      <c r="B36" s="46">
        <v>101</v>
      </c>
      <c r="C36" s="40" t="s">
        <v>110</v>
      </c>
      <c r="D36" s="46" t="s">
        <v>31</v>
      </c>
      <c r="E36" s="1"/>
    </row>
    <row r="37" spans="2:5">
      <c r="B37" s="46">
        <v>102</v>
      </c>
      <c r="C37" s="40" t="s">
        <v>111</v>
      </c>
      <c r="D37" s="46" t="s">
        <v>177</v>
      </c>
      <c r="E37" s="1"/>
    </row>
    <row r="38" spans="2:5">
      <c r="B38" s="46">
        <v>103</v>
      </c>
      <c r="C38" s="40" t="s">
        <v>112</v>
      </c>
      <c r="D38" s="46" t="s">
        <v>177</v>
      </c>
      <c r="E38" s="1"/>
    </row>
    <row r="39" spans="2:5">
      <c r="B39" s="46">
        <v>83</v>
      </c>
      <c r="C39" s="40" t="s">
        <v>92</v>
      </c>
      <c r="D39" s="46" t="s">
        <v>167</v>
      </c>
      <c r="E39" s="1"/>
    </row>
    <row r="40" spans="2:5">
      <c r="B40" s="46">
        <v>22</v>
      </c>
      <c r="C40" s="40" t="s">
        <v>27</v>
      </c>
      <c r="D40" s="46" t="s">
        <v>167</v>
      </c>
      <c r="E40" s="1"/>
    </row>
    <row r="41" spans="2:5">
      <c r="B41" s="46">
        <v>136</v>
      </c>
      <c r="C41" s="40" t="s">
        <v>145</v>
      </c>
      <c r="D41" s="46" t="s">
        <v>6</v>
      </c>
      <c r="E41" s="1"/>
    </row>
    <row r="42" spans="2:5">
      <c r="B42" s="46">
        <v>92</v>
      </c>
      <c r="C42" s="40" t="s">
        <v>101</v>
      </c>
      <c r="D42" s="46" t="s">
        <v>176</v>
      </c>
      <c r="E42" s="1"/>
    </row>
    <row r="43" spans="2:5">
      <c r="B43" s="46">
        <v>94</v>
      </c>
      <c r="C43" s="40" t="s">
        <v>103</v>
      </c>
      <c r="D43" s="46" t="s">
        <v>176</v>
      </c>
      <c r="E43" s="1"/>
    </row>
    <row r="44" spans="2:5">
      <c r="B44" s="46">
        <v>74</v>
      </c>
      <c r="C44" s="40" t="s">
        <v>83</v>
      </c>
      <c r="D44" s="46" t="s">
        <v>173</v>
      </c>
      <c r="E44" s="1"/>
    </row>
    <row r="45" spans="2:5">
      <c r="B45" s="46">
        <v>44</v>
      </c>
      <c r="C45" s="40" t="s">
        <v>51</v>
      </c>
      <c r="D45" s="46" t="s">
        <v>163</v>
      </c>
      <c r="E45" s="1"/>
    </row>
    <row r="46" spans="2:5">
      <c r="B46" s="46">
        <v>42</v>
      </c>
      <c r="C46" s="40" t="s">
        <v>49</v>
      </c>
      <c r="D46" s="46" t="s">
        <v>169</v>
      </c>
      <c r="E46" s="1"/>
    </row>
    <row r="47" spans="2:5">
      <c r="B47" s="46">
        <v>118</v>
      </c>
      <c r="C47" s="40" t="s">
        <v>127</v>
      </c>
      <c r="D47" s="46" t="s">
        <v>10</v>
      </c>
      <c r="E47" s="1"/>
    </row>
    <row r="48" spans="2:5">
      <c r="B48" s="46">
        <v>55</v>
      </c>
      <c r="C48" s="40" t="s">
        <v>62</v>
      </c>
      <c r="D48" s="46" t="s">
        <v>10</v>
      </c>
      <c r="E48" s="1"/>
    </row>
    <row r="49" spans="2:5">
      <c r="B49" s="46">
        <v>76</v>
      </c>
      <c r="C49" s="40" t="s">
        <v>85</v>
      </c>
      <c r="D49" s="46" t="s">
        <v>173</v>
      </c>
      <c r="E49" s="1"/>
    </row>
    <row r="50" spans="2:5">
      <c r="B50" s="46">
        <v>75</v>
      </c>
      <c r="C50" s="40" t="s">
        <v>84</v>
      </c>
      <c r="D50" s="46" t="s">
        <v>173</v>
      </c>
      <c r="E50" s="1"/>
    </row>
    <row r="51" spans="2:5">
      <c r="B51" s="46">
        <v>88</v>
      </c>
      <c r="C51" s="40" t="s">
        <v>97</v>
      </c>
      <c r="D51" s="46" t="s">
        <v>2</v>
      </c>
      <c r="E51" s="1"/>
    </row>
    <row r="52" spans="2:5">
      <c r="B52" s="46">
        <v>58</v>
      </c>
      <c r="C52" s="40" t="s">
        <v>66</v>
      </c>
      <c r="D52" s="46" t="s">
        <v>6</v>
      </c>
      <c r="E52" s="1"/>
    </row>
    <row r="53" spans="2:5">
      <c r="B53" s="46">
        <v>130</v>
      </c>
      <c r="C53" s="40" t="s">
        <v>139</v>
      </c>
      <c r="D53" s="46" t="s">
        <v>180</v>
      </c>
      <c r="E53" s="1"/>
    </row>
    <row r="54" spans="2:5">
      <c r="B54" s="46">
        <v>93</v>
      </c>
      <c r="C54" s="40" t="s">
        <v>102</v>
      </c>
      <c r="D54" s="46" t="s">
        <v>176</v>
      </c>
      <c r="E54" s="1"/>
    </row>
    <row r="55" spans="2:5">
      <c r="B55" s="46">
        <v>107</v>
      </c>
      <c r="C55" s="40" t="s">
        <v>116</v>
      </c>
      <c r="D55" s="46" t="s">
        <v>64</v>
      </c>
      <c r="E55" s="1"/>
    </row>
    <row r="56" spans="2:5">
      <c r="B56" s="46">
        <v>106</v>
      </c>
      <c r="C56" s="40" t="s">
        <v>115</v>
      </c>
      <c r="D56" s="46" t="s">
        <v>64</v>
      </c>
      <c r="E56" s="1"/>
    </row>
    <row r="57" spans="2:5">
      <c r="B57" s="46">
        <v>116</v>
      </c>
      <c r="C57" s="40" t="s">
        <v>125</v>
      </c>
      <c r="D57" s="46" t="s">
        <v>10</v>
      </c>
      <c r="E57" s="1"/>
    </row>
    <row r="58" spans="2:5">
      <c r="B58" s="46">
        <v>97</v>
      </c>
      <c r="C58" s="40" t="s">
        <v>106</v>
      </c>
      <c r="D58" s="46" t="s">
        <v>72</v>
      </c>
      <c r="E58" s="1"/>
    </row>
    <row r="59" spans="2:5">
      <c r="B59" s="46">
        <v>2</v>
      </c>
      <c r="C59" s="40" t="s">
        <v>3</v>
      </c>
      <c r="D59" s="46" t="s">
        <v>163</v>
      </c>
      <c r="E59" s="1"/>
    </row>
    <row r="60" spans="2:5">
      <c r="B60" s="46">
        <v>39</v>
      </c>
      <c r="C60" s="40" t="s">
        <v>46</v>
      </c>
      <c r="D60" s="46" t="s">
        <v>21</v>
      </c>
      <c r="E60" s="1"/>
    </row>
    <row r="61" spans="2:5">
      <c r="B61" s="46">
        <v>135</v>
      </c>
      <c r="C61" s="40" t="s">
        <v>144</v>
      </c>
      <c r="D61" s="46" t="s">
        <v>31</v>
      </c>
      <c r="E61" s="1"/>
    </row>
    <row r="62" spans="2:5">
      <c r="B62" s="46">
        <v>124</v>
      </c>
      <c r="C62" s="40" t="s">
        <v>133</v>
      </c>
      <c r="D62" s="46" t="s">
        <v>179</v>
      </c>
      <c r="E62" s="1"/>
    </row>
    <row r="63" spans="2:5">
      <c r="B63" s="46">
        <v>140</v>
      </c>
      <c r="C63" s="40" t="s">
        <v>149</v>
      </c>
      <c r="D63" s="46" t="s">
        <v>181</v>
      </c>
      <c r="E63" s="1"/>
    </row>
    <row r="64" spans="2:5">
      <c r="B64" s="46">
        <v>141</v>
      </c>
      <c r="C64" s="40" t="s">
        <v>150</v>
      </c>
      <c r="D64" s="46" t="s">
        <v>181</v>
      </c>
      <c r="E64" s="1"/>
    </row>
    <row r="65" spans="2:5">
      <c r="B65" s="46">
        <v>64</v>
      </c>
      <c r="C65" s="40" t="s">
        <v>73</v>
      </c>
      <c r="D65" s="46" t="s">
        <v>72</v>
      </c>
      <c r="E65" s="1"/>
    </row>
    <row r="66" spans="2:5">
      <c r="B66" s="46">
        <v>14</v>
      </c>
      <c r="C66" s="40" t="s">
        <v>18</v>
      </c>
      <c r="D66" s="46" t="s">
        <v>166</v>
      </c>
      <c r="E66" s="1"/>
    </row>
    <row r="67" spans="2:5">
      <c r="B67" s="46">
        <v>115</v>
      </c>
      <c r="C67" s="40" t="s">
        <v>124</v>
      </c>
      <c r="D67" s="46" t="s">
        <v>21</v>
      </c>
      <c r="E67" s="1"/>
    </row>
    <row r="68" spans="2:5">
      <c r="B68" s="46">
        <v>99</v>
      </c>
      <c r="C68" s="40" t="s">
        <v>108</v>
      </c>
      <c r="D68" s="46" t="s">
        <v>10</v>
      </c>
      <c r="E68" s="1"/>
    </row>
    <row r="69" spans="2:5">
      <c r="B69" s="46">
        <v>109</v>
      </c>
      <c r="C69" s="40" t="s">
        <v>118</v>
      </c>
      <c r="D69" s="46" t="s">
        <v>2</v>
      </c>
      <c r="E69" s="1"/>
    </row>
    <row r="70" spans="2:5">
      <c r="B70" s="46">
        <v>98</v>
      </c>
      <c r="C70" s="40" t="s">
        <v>107</v>
      </c>
      <c r="D70" s="46" t="s">
        <v>10</v>
      </c>
      <c r="E70" s="1"/>
    </row>
    <row r="71" spans="2:5">
      <c r="B71" s="46">
        <v>131</v>
      </c>
      <c r="C71" s="40" t="s">
        <v>140</v>
      </c>
      <c r="D71" s="46" t="s">
        <v>175</v>
      </c>
      <c r="E71" s="1"/>
    </row>
    <row r="72" spans="2:5">
      <c r="B72" s="46">
        <v>108</v>
      </c>
      <c r="C72" s="40" t="s">
        <v>117</v>
      </c>
      <c r="D72" s="46" t="s">
        <v>21</v>
      </c>
      <c r="E72" s="1"/>
    </row>
    <row r="73" spans="2:5">
      <c r="B73" s="46">
        <v>68</v>
      </c>
      <c r="C73" s="40" t="s">
        <v>77</v>
      </c>
      <c r="D73" s="46" t="s">
        <v>64</v>
      </c>
      <c r="E73" s="1"/>
    </row>
    <row r="74" spans="2:5">
      <c r="B74" s="46">
        <v>67</v>
      </c>
      <c r="C74" s="40" t="s">
        <v>76</v>
      </c>
      <c r="D74" s="46" t="s">
        <v>64</v>
      </c>
      <c r="E74" s="1"/>
    </row>
    <row r="75" spans="2:5">
      <c r="B75" s="46">
        <v>66</v>
      </c>
      <c r="C75" s="40" t="s">
        <v>75</v>
      </c>
      <c r="D75" s="46" t="s">
        <v>64</v>
      </c>
      <c r="E75" s="1"/>
    </row>
    <row r="76" spans="2:5">
      <c r="B76" s="46">
        <v>129</v>
      </c>
      <c r="C76" s="40" t="s">
        <v>138</v>
      </c>
      <c r="D76" s="46" t="s">
        <v>10</v>
      </c>
      <c r="E76" s="1"/>
    </row>
    <row r="77" spans="2:5">
      <c r="B77" s="46">
        <v>126</v>
      </c>
      <c r="C77" s="40" t="s">
        <v>135</v>
      </c>
      <c r="D77" s="46" t="s">
        <v>6</v>
      </c>
      <c r="E77" s="1"/>
    </row>
    <row r="78" spans="2:5">
      <c r="B78" s="46">
        <v>81</v>
      </c>
      <c r="C78" s="40" t="s">
        <v>90</v>
      </c>
      <c r="D78" s="46" t="s">
        <v>31</v>
      </c>
      <c r="E78" s="1"/>
    </row>
    <row r="79" spans="2:5">
      <c r="B79" s="46">
        <v>82</v>
      </c>
      <c r="C79" s="40" t="s">
        <v>91</v>
      </c>
      <c r="D79" s="46" t="s">
        <v>31</v>
      </c>
      <c r="E79" s="1"/>
    </row>
    <row r="80" spans="2:5">
      <c r="B80" s="46">
        <v>56</v>
      </c>
      <c r="C80" s="40" t="s">
        <v>63</v>
      </c>
      <c r="D80" s="46" t="s">
        <v>64</v>
      </c>
      <c r="E80" s="1"/>
    </row>
    <row r="81" spans="2:5">
      <c r="B81" s="46">
        <v>105</v>
      </c>
      <c r="C81" s="40" t="s">
        <v>114</v>
      </c>
      <c r="D81" s="46" t="s">
        <v>34</v>
      </c>
      <c r="E81" s="1"/>
    </row>
    <row r="82" spans="2:5">
      <c r="B82" s="46">
        <v>52</v>
      </c>
      <c r="C82" s="40" t="s">
        <v>59</v>
      </c>
      <c r="D82" s="46" t="s">
        <v>21</v>
      </c>
      <c r="E82" s="1"/>
    </row>
    <row r="83" spans="2:5">
      <c r="B83" s="46">
        <v>11</v>
      </c>
      <c r="C83" s="40" t="s">
        <v>15</v>
      </c>
      <c r="D83" s="46" t="s">
        <v>14</v>
      </c>
      <c r="E83" s="1"/>
    </row>
    <row r="84" spans="2:5">
      <c r="B84" s="46">
        <v>151</v>
      </c>
      <c r="C84" s="40" t="s">
        <v>161</v>
      </c>
      <c r="D84" s="46" t="s">
        <v>72</v>
      </c>
      <c r="E84" s="1"/>
    </row>
    <row r="85" spans="2:5">
      <c r="B85" s="46">
        <v>150</v>
      </c>
      <c r="C85" s="40" t="s">
        <v>160</v>
      </c>
      <c r="D85" s="46" t="s">
        <v>72</v>
      </c>
      <c r="E85" s="1"/>
    </row>
    <row r="86" spans="2:5">
      <c r="B86" s="46">
        <v>146</v>
      </c>
      <c r="C86" s="40" t="s">
        <v>155</v>
      </c>
      <c r="D86" s="46" t="s">
        <v>164</v>
      </c>
      <c r="E86" s="1"/>
    </row>
    <row r="87" spans="2:5">
      <c r="B87" s="46">
        <v>122</v>
      </c>
      <c r="C87" s="40" t="s">
        <v>131</v>
      </c>
      <c r="D87" s="46" t="s">
        <v>72</v>
      </c>
      <c r="E87" s="1"/>
    </row>
    <row r="88" spans="2:5">
      <c r="B88" s="46">
        <v>89</v>
      </c>
      <c r="C88" s="40" t="s">
        <v>98</v>
      </c>
      <c r="D88" s="46" t="s">
        <v>2</v>
      </c>
      <c r="E88" s="1"/>
    </row>
    <row r="89" spans="2:5">
      <c r="B89" s="46">
        <v>34</v>
      </c>
      <c r="C89" s="40" t="s">
        <v>41</v>
      </c>
      <c r="D89" s="46" t="s">
        <v>168</v>
      </c>
      <c r="E89" s="1"/>
    </row>
    <row r="90" spans="2:5">
      <c r="B90" s="46">
        <v>31</v>
      </c>
      <c r="C90" s="40" t="s">
        <v>38</v>
      </c>
      <c r="D90" s="46" t="s">
        <v>168</v>
      </c>
      <c r="E90" s="1"/>
    </row>
    <row r="91" spans="2:5">
      <c r="B91" s="46">
        <v>29</v>
      </c>
      <c r="C91" s="40" t="s">
        <v>36</v>
      </c>
      <c r="D91" s="46" t="s">
        <v>2</v>
      </c>
      <c r="E91" s="1"/>
    </row>
    <row r="92" spans="2:5">
      <c r="B92" s="46">
        <v>32</v>
      </c>
      <c r="C92" s="40" t="s">
        <v>39</v>
      </c>
      <c r="D92" s="46" t="s">
        <v>2</v>
      </c>
      <c r="E92" s="1"/>
    </row>
    <row r="93" spans="2:5">
      <c r="B93" s="46">
        <v>30</v>
      </c>
      <c r="C93" s="40" t="s">
        <v>37</v>
      </c>
      <c r="D93" s="46" t="s">
        <v>2</v>
      </c>
      <c r="E93" s="1"/>
    </row>
    <row r="94" spans="2:5">
      <c r="B94" s="46">
        <v>33</v>
      </c>
      <c r="C94" s="40" t="s">
        <v>40</v>
      </c>
      <c r="D94" s="46" t="s">
        <v>2</v>
      </c>
      <c r="E94" s="1"/>
    </row>
    <row r="95" spans="2:5">
      <c r="B95" s="46">
        <v>38</v>
      </c>
      <c r="C95" s="40" t="s">
        <v>45</v>
      </c>
      <c r="D95" s="46" t="s">
        <v>6</v>
      </c>
      <c r="E95" s="1"/>
    </row>
    <row r="96" spans="2:5">
      <c r="B96" s="46">
        <v>43</v>
      </c>
      <c r="C96" s="40" t="s">
        <v>50</v>
      </c>
      <c r="D96" s="46" t="s">
        <v>163</v>
      </c>
      <c r="E96" s="1"/>
    </row>
    <row r="97" spans="2:5">
      <c r="B97" s="46">
        <v>138</v>
      </c>
      <c r="C97" s="40" t="s">
        <v>147</v>
      </c>
      <c r="D97" s="46" t="s">
        <v>181</v>
      </c>
      <c r="E97" s="1"/>
    </row>
    <row r="98" spans="2:5">
      <c r="B98" s="46">
        <v>139</v>
      </c>
      <c r="C98" s="40" t="s">
        <v>148</v>
      </c>
      <c r="D98" s="46" t="s">
        <v>181</v>
      </c>
      <c r="E98" s="1"/>
    </row>
    <row r="99" spans="2:5">
      <c r="B99" s="46">
        <v>95</v>
      </c>
      <c r="C99" s="40" t="s">
        <v>104</v>
      </c>
      <c r="D99" s="46" t="s">
        <v>173</v>
      </c>
      <c r="E99" s="1"/>
    </row>
    <row r="100" spans="2:5">
      <c r="B100" s="46">
        <v>46</v>
      </c>
      <c r="C100" s="40" t="s">
        <v>53</v>
      </c>
      <c r="D100" s="46" t="s">
        <v>170</v>
      </c>
      <c r="E100" s="1"/>
    </row>
    <row r="101" spans="2:5">
      <c r="B101" s="46">
        <v>47</v>
      </c>
      <c r="C101" s="40" t="s">
        <v>54</v>
      </c>
      <c r="D101" s="46" t="s">
        <v>170</v>
      </c>
      <c r="E101" s="1"/>
    </row>
    <row r="102" spans="2:5">
      <c r="B102" s="46">
        <v>53</v>
      </c>
      <c r="C102" s="40" t="s">
        <v>60</v>
      </c>
      <c r="D102" s="46" t="s">
        <v>21</v>
      </c>
      <c r="E102" s="1"/>
    </row>
    <row r="103" spans="2:5">
      <c r="B103" s="46">
        <v>18</v>
      </c>
      <c r="C103" s="40" t="s">
        <v>23</v>
      </c>
      <c r="D103" s="46" t="s">
        <v>167</v>
      </c>
      <c r="E103" s="1"/>
    </row>
    <row r="104" spans="2:5">
      <c r="B104" s="46">
        <v>17</v>
      </c>
      <c r="C104" s="40" t="s">
        <v>22</v>
      </c>
      <c r="D104" s="46" t="s">
        <v>167</v>
      </c>
      <c r="E104" s="1"/>
    </row>
    <row r="105" spans="2:5">
      <c r="B105" s="46">
        <v>16</v>
      </c>
      <c r="C105" s="40" t="s">
        <v>20</v>
      </c>
      <c r="D105" s="46" t="s">
        <v>167</v>
      </c>
      <c r="E105" s="1"/>
    </row>
    <row r="106" spans="2:5">
      <c r="B106" s="46">
        <v>25</v>
      </c>
      <c r="C106" s="40" t="s">
        <v>30</v>
      </c>
      <c r="D106" s="46" t="s">
        <v>31</v>
      </c>
      <c r="E106" s="1"/>
    </row>
    <row r="107" spans="2:5">
      <c r="B107" s="46">
        <v>127</v>
      </c>
      <c r="C107" s="40" t="s">
        <v>136</v>
      </c>
      <c r="D107" s="46" t="s">
        <v>14</v>
      </c>
      <c r="E107" s="1"/>
    </row>
    <row r="108" spans="2:5">
      <c r="B108" s="46">
        <v>60</v>
      </c>
      <c r="C108" s="40" t="s">
        <v>68</v>
      </c>
      <c r="D108" s="46" t="s">
        <v>10</v>
      </c>
      <c r="E108" s="1"/>
    </row>
    <row r="109" spans="2:5">
      <c r="B109" s="46">
        <v>61</v>
      </c>
      <c r="C109" s="40" t="s">
        <v>69</v>
      </c>
      <c r="D109" s="46" t="s">
        <v>10</v>
      </c>
      <c r="E109" s="1"/>
    </row>
    <row r="110" spans="2:5">
      <c r="B110" s="46">
        <v>62</v>
      </c>
      <c r="C110" s="40" t="s">
        <v>70</v>
      </c>
      <c r="D110" s="46" t="s">
        <v>171</v>
      </c>
      <c r="E110" s="1"/>
    </row>
    <row r="111" spans="2:5">
      <c r="B111" s="46">
        <v>77</v>
      </c>
      <c r="C111" s="40" t="s">
        <v>86</v>
      </c>
      <c r="D111" s="46" t="s">
        <v>6</v>
      </c>
      <c r="E111" s="1"/>
    </row>
    <row r="112" spans="2:5">
      <c r="B112" s="46">
        <v>137</v>
      </c>
      <c r="C112" s="40" t="s">
        <v>146</v>
      </c>
      <c r="D112" s="46" t="s">
        <v>21</v>
      </c>
      <c r="E112" s="1"/>
    </row>
    <row r="113" spans="2:5">
      <c r="B113" s="46">
        <v>57</v>
      </c>
      <c r="C113" s="40" t="s">
        <v>65</v>
      </c>
      <c r="D113" s="46" t="s">
        <v>64</v>
      </c>
      <c r="E113" s="1"/>
    </row>
    <row r="114" spans="2:5">
      <c r="B114" s="46">
        <v>54</v>
      </c>
      <c r="C114" s="40" t="s">
        <v>61</v>
      </c>
      <c r="D114" s="46" t="s">
        <v>10</v>
      </c>
      <c r="E114" s="1"/>
    </row>
    <row r="115" spans="2:5">
      <c r="B115" s="46">
        <v>26</v>
      </c>
      <c r="C115" s="40" t="s">
        <v>32</v>
      </c>
      <c r="D115" s="46" t="s">
        <v>31</v>
      </c>
      <c r="E115" s="1"/>
    </row>
    <row r="116" spans="2:5">
      <c r="B116" s="46">
        <v>78</v>
      </c>
      <c r="C116" s="40" t="s">
        <v>87</v>
      </c>
      <c r="D116" s="46" t="s">
        <v>6</v>
      </c>
      <c r="E116" s="1"/>
    </row>
    <row r="117" spans="2:5">
      <c r="B117" s="46">
        <v>20</v>
      </c>
      <c r="C117" s="40" t="s">
        <v>25</v>
      </c>
      <c r="D117" s="46" t="s">
        <v>21</v>
      </c>
      <c r="E117" s="1"/>
    </row>
    <row r="118" spans="2:5">
      <c r="B118" s="46">
        <v>19</v>
      </c>
      <c r="C118" s="40" t="s">
        <v>24</v>
      </c>
      <c r="D118" s="46" t="s">
        <v>21</v>
      </c>
      <c r="E118" s="1"/>
    </row>
    <row r="119" spans="2:5">
      <c r="B119" s="46">
        <v>112</v>
      </c>
      <c r="C119" s="40" t="s">
        <v>121</v>
      </c>
      <c r="D119" s="46" t="s">
        <v>178</v>
      </c>
      <c r="E119" s="1"/>
    </row>
    <row r="120" spans="2:5">
      <c r="B120" s="46">
        <v>111</v>
      </c>
      <c r="C120" s="40" t="s">
        <v>120</v>
      </c>
      <c r="D120" s="46" t="s">
        <v>178</v>
      </c>
      <c r="E120" s="1"/>
    </row>
    <row r="121" spans="2:5">
      <c r="B121" s="46">
        <v>27</v>
      </c>
      <c r="C121" s="40" t="s">
        <v>33</v>
      </c>
      <c r="D121" s="46" t="s">
        <v>34</v>
      </c>
      <c r="E121" s="1"/>
    </row>
    <row r="122" spans="2:5">
      <c r="B122" s="46">
        <v>28</v>
      </c>
      <c r="C122" s="40" t="s">
        <v>35</v>
      </c>
      <c r="D122" s="46" t="s">
        <v>34</v>
      </c>
      <c r="E122" s="1"/>
    </row>
    <row r="123" spans="2:5">
      <c r="B123" s="46">
        <v>123</v>
      </c>
      <c r="C123" s="40" t="s">
        <v>132</v>
      </c>
      <c r="D123" s="46" t="s">
        <v>165</v>
      </c>
      <c r="E123" s="1"/>
    </row>
    <row r="124" spans="2:5">
      <c r="B124" s="46">
        <v>117</v>
      </c>
      <c r="C124" s="40" t="s">
        <v>126</v>
      </c>
      <c r="D124" s="46" t="s">
        <v>10</v>
      </c>
      <c r="E124" s="1"/>
    </row>
    <row r="125" spans="2:5">
      <c r="B125" s="46">
        <v>119</v>
      </c>
      <c r="C125" s="40" t="s">
        <v>128</v>
      </c>
      <c r="D125" s="46" t="s">
        <v>10</v>
      </c>
      <c r="E125" s="1"/>
    </row>
    <row r="126" spans="2:5">
      <c r="B126" s="46">
        <v>86</v>
      </c>
      <c r="C126" s="40" t="s">
        <v>95</v>
      </c>
      <c r="D126" s="46" t="s">
        <v>10</v>
      </c>
      <c r="E126" s="1"/>
    </row>
    <row r="127" spans="2:5">
      <c r="B127" s="46">
        <v>90</v>
      </c>
      <c r="C127" s="40" t="s">
        <v>99</v>
      </c>
      <c r="D127" s="46" t="s">
        <v>10</v>
      </c>
      <c r="E127" s="1"/>
    </row>
    <row r="128" spans="2:5">
      <c r="B128" s="46">
        <v>80</v>
      </c>
      <c r="C128" s="40" t="s">
        <v>89</v>
      </c>
      <c r="D128" s="46" t="s">
        <v>174</v>
      </c>
      <c r="E128" s="1"/>
    </row>
    <row r="129" spans="2:5">
      <c r="B129" s="46">
        <v>79</v>
      </c>
      <c r="C129" s="40" t="s">
        <v>88</v>
      </c>
      <c r="D129" s="46" t="s">
        <v>174</v>
      </c>
      <c r="E129" s="1"/>
    </row>
    <row r="130" spans="2:5">
      <c r="B130" s="46">
        <v>143</v>
      </c>
      <c r="C130" s="40" t="s">
        <v>152</v>
      </c>
      <c r="D130" s="46" t="s">
        <v>21</v>
      </c>
      <c r="E130" s="1"/>
    </row>
    <row r="131" spans="2:5">
      <c r="B131" s="46">
        <v>21</v>
      </c>
      <c r="C131" s="40" t="s">
        <v>26</v>
      </c>
      <c r="D131" s="46" t="s">
        <v>167</v>
      </c>
      <c r="E131" s="1"/>
    </row>
    <row r="132" spans="2:5">
      <c r="B132" s="46">
        <v>7</v>
      </c>
      <c r="C132" s="40" t="s">
        <v>9</v>
      </c>
      <c r="D132" s="46" t="s">
        <v>10</v>
      </c>
      <c r="E132" s="1"/>
    </row>
    <row r="133" spans="2:5">
      <c r="B133" s="46">
        <v>121</v>
      </c>
      <c r="C133" s="40" t="s">
        <v>130</v>
      </c>
      <c r="D133" s="46" t="s">
        <v>174</v>
      </c>
      <c r="E133" s="1"/>
    </row>
    <row r="134" spans="2:5">
      <c r="B134" s="46">
        <v>120</v>
      </c>
      <c r="C134" s="40" t="s">
        <v>129</v>
      </c>
      <c r="D134" s="46" t="s">
        <v>10</v>
      </c>
      <c r="E134" s="1"/>
    </row>
    <row r="135" spans="2:5">
      <c r="B135" s="46">
        <v>114</v>
      </c>
      <c r="C135" s="40" t="s">
        <v>123</v>
      </c>
      <c r="D135" s="46" t="s">
        <v>1</v>
      </c>
      <c r="E135" s="1"/>
    </row>
    <row r="136" spans="2:5">
      <c r="B136" s="46">
        <v>128</v>
      </c>
      <c r="C136" s="40" t="s">
        <v>137</v>
      </c>
      <c r="D136" s="46" t="s">
        <v>21</v>
      </c>
      <c r="E136" s="1"/>
    </row>
    <row r="137" spans="2:5">
      <c r="B137" s="46">
        <v>72</v>
      </c>
      <c r="C137" s="40" t="s">
        <v>81</v>
      </c>
      <c r="D137" s="46" t="s">
        <v>172</v>
      </c>
      <c r="E137" s="1"/>
    </row>
    <row r="138" spans="2:5">
      <c r="B138" s="46">
        <v>73</v>
      </c>
      <c r="C138" s="40" t="s">
        <v>82</v>
      </c>
      <c r="D138" s="46" t="s">
        <v>172</v>
      </c>
      <c r="E138" s="1"/>
    </row>
    <row r="139" spans="2:5">
      <c r="B139" s="46">
        <v>134</v>
      </c>
      <c r="C139" s="40" t="s">
        <v>143</v>
      </c>
      <c r="D139" s="46" t="s">
        <v>10</v>
      </c>
      <c r="E139" s="1"/>
    </row>
    <row r="140" spans="2:5">
      <c r="B140" s="46">
        <v>49</v>
      </c>
      <c r="C140" s="40" t="s">
        <v>56</v>
      </c>
      <c r="D140" s="46" t="s">
        <v>166</v>
      </c>
      <c r="E140" s="1"/>
    </row>
    <row r="141" spans="2:5">
      <c r="B141" s="46">
        <v>48</v>
      </c>
      <c r="C141" s="40" t="s">
        <v>55</v>
      </c>
      <c r="D141" s="46" t="s">
        <v>166</v>
      </c>
      <c r="E141" s="1"/>
    </row>
    <row r="142" spans="2:5">
      <c r="B142" s="46">
        <v>3</v>
      </c>
      <c r="C142" s="40" t="s">
        <v>4</v>
      </c>
      <c r="D142" s="46" t="s">
        <v>163</v>
      </c>
      <c r="E142" s="1"/>
    </row>
    <row r="143" spans="2:5">
      <c r="B143" s="46">
        <v>71</v>
      </c>
      <c r="C143" s="40" t="s">
        <v>80</v>
      </c>
      <c r="D143" s="46" t="s">
        <v>163</v>
      </c>
      <c r="E143" s="1"/>
    </row>
    <row r="144" spans="2:5">
      <c r="B144" s="46">
        <v>45</v>
      </c>
      <c r="C144" s="40" t="s">
        <v>52</v>
      </c>
      <c r="D144" s="46" t="s">
        <v>163</v>
      </c>
      <c r="E144" s="1"/>
    </row>
    <row r="145" spans="2:10">
      <c r="B145" s="46">
        <v>100</v>
      </c>
      <c r="C145" s="40" t="s">
        <v>109</v>
      </c>
      <c r="D145" s="46" t="s">
        <v>31</v>
      </c>
      <c r="E145" s="1"/>
    </row>
    <row r="146" spans="2:10">
      <c r="B146" s="46">
        <v>37</v>
      </c>
      <c r="C146" s="40" t="s">
        <v>44</v>
      </c>
      <c r="D146" s="46" t="s">
        <v>6</v>
      </c>
      <c r="E146" s="1"/>
    </row>
    <row r="147" spans="2:10">
      <c r="B147" s="46">
        <v>8</v>
      </c>
      <c r="C147" s="40" t="s">
        <v>11</v>
      </c>
      <c r="D147" s="46" t="s">
        <v>10</v>
      </c>
      <c r="E147" s="1"/>
    </row>
    <row r="148" spans="2:10">
      <c r="B148" s="46">
        <v>13</v>
      </c>
      <c r="C148" s="40" t="s">
        <v>17</v>
      </c>
      <c r="D148" s="46" t="s">
        <v>166</v>
      </c>
      <c r="E148" s="1"/>
    </row>
    <row r="149" spans="2:10">
      <c r="B149" s="46">
        <v>70</v>
      </c>
      <c r="C149" s="40" t="s">
        <v>79</v>
      </c>
      <c r="D149" s="46" t="s">
        <v>163</v>
      </c>
      <c r="E149" s="1"/>
    </row>
    <row r="150" spans="2:10">
      <c r="B150" s="46">
        <v>110</v>
      </c>
      <c r="C150" s="40" t="s">
        <v>119</v>
      </c>
      <c r="D150" s="46" t="s">
        <v>2</v>
      </c>
      <c r="E150" s="1"/>
    </row>
    <row r="151" spans="2:10">
      <c r="B151" s="46">
        <v>40</v>
      </c>
      <c r="C151" s="40" t="s">
        <v>47</v>
      </c>
      <c r="D151" s="46" t="s">
        <v>21</v>
      </c>
      <c r="E151" s="1"/>
    </row>
    <row r="152" spans="2:10">
      <c r="B152" s="46">
        <v>145</v>
      </c>
      <c r="C152" s="40" t="s">
        <v>154</v>
      </c>
      <c r="D152" s="46" t="s">
        <v>184</v>
      </c>
      <c r="E152" s="1"/>
    </row>
    <row r="153" spans="2:10">
      <c r="B153" s="46">
        <v>41</v>
      </c>
      <c r="C153" s="40" t="s">
        <v>48</v>
      </c>
      <c r="D153" s="46" t="s">
        <v>169</v>
      </c>
      <c r="E153" s="1"/>
    </row>
    <row r="154" spans="2:10">
      <c r="H154" s="1"/>
    </row>
    <row r="156" spans="2:10">
      <c r="F156" s="40"/>
      <c r="G156" s="36" t="s">
        <v>186</v>
      </c>
      <c r="H156" s="36" t="s">
        <v>311</v>
      </c>
      <c r="I156" s="36" t="s">
        <v>312</v>
      </c>
      <c r="J156" s="36" t="s">
        <v>310</v>
      </c>
    </row>
    <row r="157" spans="2:10">
      <c r="F157" s="46">
        <v>24</v>
      </c>
      <c r="G157" s="40" t="s">
        <v>29</v>
      </c>
      <c r="H157" s="46" t="s">
        <v>2</v>
      </c>
      <c r="I157" s="40"/>
      <c r="J157" s="40" t="b">
        <f>OR(IF(H157="Poison",TRUE,FALSE),IF(I157="Poison",TRUE,FALSE))</f>
        <v>1</v>
      </c>
    </row>
    <row r="158" spans="2:10">
      <c r="F158" s="46">
        <v>15</v>
      </c>
      <c r="G158" s="40" t="s">
        <v>19</v>
      </c>
      <c r="H158" s="46" t="s">
        <v>14</v>
      </c>
      <c r="I158" s="40" t="s">
        <v>2</v>
      </c>
      <c r="J158" s="40" t="b">
        <f>OR(IF(H158="Poison",TRUE,FALSE),IF(I158="Poison",TRUE,FALSE))</f>
        <v>1</v>
      </c>
    </row>
    <row r="159" spans="2:10">
      <c r="F159" s="46">
        <v>69</v>
      </c>
      <c r="G159" s="40" t="s">
        <v>78</v>
      </c>
      <c r="H159" s="46" t="s">
        <v>1</v>
      </c>
      <c r="I159" s="40" t="s">
        <v>2</v>
      </c>
      <c r="J159" s="40" t="b">
        <f>OR(IF(H159="Poison",TRUE,FALSE),IF(I159="Poison",TRUE,FALSE))</f>
        <v>1</v>
      </c>
    </row>
    <row r="160" spans="2:10" hidden="1">
      <c r="F160" s="1">
        <v>4</v>
      </c>
      <c r="G160" s="2" t="s">
        <v>5</v>
      </c>
      <c r="H160" s="1" t="s">
        <v>6</v>
      </c>
      <c r="J160" s="2" t="b">
        <f>OR(IF(H160="Poison",TRUE,FALSE),IF(I160="Poison",TRUE,FALSE))</f>
        <v>0</v>
      </c>
    </row>
    <row r="161" spans="6:10" hidden="1">
      <c r="F161" s="1">
        <v>5</v>
      </c>
      <c r="G161" s="2" t="s">
        <v>7</v>
      </c>
      <c r="H161" s="1" t="s">
        <v>6</v>
      </c>
      <c r="J161" s="2" t="b">
        <f>OR(IF(H161="Poison",TRUE,FALSE),IF(I161="Poison",TRUE,FALSE))</f>
        <v>0</v>
      </c>
    </row>
    <row r="162" spans="6:10" hidden="1">
      <c r="F162" s="1">
        <v>6</v>
      </c>
      <c r="G162" s="2" t="s">
        <v>8</v>
      </c>
      <c r="H162" s="1" t="s">
        <v>6</v>
      </c>
      <c r="I162" s="2" t="s">
        <v>306</v>
      </c>
      <c r="J162" s="2" t="b">
        <f>OR(IF(H162="Poison",TRUE,FALSE),IF(I162="Poison",TRUE,FALSE))</f>
        <v>0</v>
      </c>
    </row>
    <row r="163" spans="6:10" hidden="1">
      <c r="F163" s="1">
        <v>7</v>
      </c>
      <c r="G163" s="2" t="s">
        <v>9</v>
      </c>
      <c r="H163" s="1" t="s">
        <v>10</v>
      </c>
      <c r="J163" s="2" t="b">
        <f>OR(IF(H163="Poison",TRUE,FALSE),IF(I163="Poison",TRUE,FALSE))</f>
        <v>0</v>
      </c>
    </row>
    <row r="164" spans="6:10" hidden="1">
      <c r="F164" s="1">
        <v>8</v>
      </c>
      <c r="G164" s="2" t="s">
        <v>11</v>
      </c>
      <c r="H164" s="1" t="s">
        <v>10</v>
      </c>
      <c r="J164" s="2" t="b">
        <f>OR(IF(H164="Poison",TRUE,FALSE),IF(I164="Poison",TRUE,FALSE))</f>
        <v>0</v>
      </c>
    </row>
    <row r="165" spans="6:10" hidden="1">
      <c r="F165" s="1">
        <v>9</v>
      </c>
      <c r="G165" s="2" t="s">
        <v>12</v>
      </c>
      <c r="H165" s="1" t="s">
        <v>10</v>
      </c>
      <c r="J165" s="2" t="b">
        <f>OR(IF(H165="Poison",TRUE,FALSE),IF(I165="Poison",TRUE,FALSE))</f>
        <v>0</v>
      </c>
    </row>
    <row r="166" spans="6:10" hidden="1">
      <c r="F166" s="1">
        <v>10</v>
      </c>
      <c r="G166" s="2" t="s">
        <v>13</v>
      </c>
      <c r="H166" s="1" t="s">
        <v>14</v>
      </c>
      <c r="J166" s="2" t="b">
        <f>OR(IF(H166="Poison",TRUE,FALSE),IF(I166="Poison",TRUE,FALSE))</f>
        <v>0</v>
      </c>
    </row>
    <row r="167" spans="6:10" hidden="1">
      <c r="F167" s="1">
        <v>11</v>
      </c>
      <c r="G167" s="2" t="s">
        <v>15</v>
      </c>
      <c r="H167" s="1" t="s">
        <v>14</v>
      </c>
      <c r="J167" s="2" t="b">
        <f>OR(IF(H167="Poison",TRUE,FALSE),IF(I167="Poison",TRUE,FALSE))</f>
        <v>0</v>
      </c>
    </row>
    <row r="168" spans="6:10" hidden="1">
      <c r="F168" s="1">
        <v>12</v>
      </c>
      <c r="G168" s="2" t="s">
        <v>16</v>
      </c>
      <c r="H168" s="1" t="s">
        <v>14</v>
      </c>
      <c r="I168" s="2" t="s">
        <v>306</v>
      </c>
      <c r="J168" s="2" t="b">
        <f>OR(IF(H168="Poison",TRUE,FALSE),IF(I168="Poison",TRUE,FALSE))</f>
        <v>0</v>
      </c>
    </row>
    <row r="169" spans="6:10">
      <c r="F169" s="46">
        <v>1</v>
      </c>
      <c r="G169" s="40" t="s">
        <v>0</v>
      </c>
      <c r="H169" s="40" t="s">
        <v>1</v>
      </c>
      <c r="I169" s="40" t="s">
        <v>2</v>
      </c>
      <c r="J169" s="40" t="b">
        <f>OR(IF(H169="Poison",TRUE,FALSE),IF(I169="Poison",TRUE,FALSE))</f>
        <v>1</v>
      </c>
    </row>
    <row r="170" spans="6:10">
      <c r="F170" s="46">
        <v>23</v>
      </c>
      <c r="G170" s="40" t="s">
        <v>28</v>
      </c>
      <c r="H170" s="46" t="s">
        <v>2</v>
      </c>
      <c r="I170" s="40"/>
      <c r="J170" s="40" t="b">
        <f>OR(IF(H170="Poison",TRUE,FALSE),IF(I170="Poison",TRUE,FALSE))</f>
        <v>1</v>
      </c>
    </row>
    <row r="171" spans="6:10">
      <c r="F171" s="46">
        <v>92</v>
      </c>
      <c r="G171" s="40" t="s">
        <v>101</v>
      </c>
      <c r="H171" s="46" t="s">
        <v>309</v>
      </c>
      <c r="I171" s="40" t="s">
        <v>2</v>
      </c>
      <c r="J171" s="40" t="b">
        <f>OR(IF(H171="Poison",TRUE,FALSE),IF(I171="Poison",TRUE,FALSE))</f>
        <v>1</v>
      </c>
    </row>
    <row r="172" spans="6:10" hidden="1">
      <c r="F172" s="1">
        <v>16</v>
      </c>
      <c r="G172" s="2" t="s">
        <v>20</v>
      </c>
      <c r="H172" s="1" t="s">
        <v>21</v>
      </c>
      <c r="I172" s="2" t="s">
        <v>306</v>
      </c>
      <c r="J172" s="2" t="b">
        <f>OR(IF(H172="Poison",TRUE,FALSE),IF(I172="Poison",TRUE,FALSE))</f>
        <v>0</v>
      </c>
    </row>
    <row r="173" spans="6:10" hidden="1">
      <c r="F173" s="1">
        <v>17</v>
      </c>
      <c r="G173" s="2" t="s">
        <v>22</v>
      </c>
      <c r="H173" s="1" t="s">
        <v>21</v>
      </c>
      <c r="I173" s="2" t="s">
        <v>306</v>
      </c>
      <c r="J173" s="2" t="b">
        <f>OR(IF(H173="Poison",TRUE,FALSE),IF(I173="Poison",TRUE,FALSE))</f>
        <v>0</v>
      </c>
    </row>
    <row r="174" spans="6:10" hidden="1">
      <c r="F174" s="1">
        <v>18</v>
      </c>
      <c r="G174" s="2" t="s">
        <v>23</v>
      </c>
      <c r="H174" s="1" t="s">
        <v>21</v>
      </c>
      <c r="I174" s="2" t="s">
        <v>306</v>
      </c>
      <c r="J174" s="2" t="b">
        <f>OR(IF(H174="Poison",TRUE,FALSE),IF(I174="Poison",TRUE,FALSE))</f>
        <v>0</v>
      </c>
    </row>
    <row r="175" spans="6:10" hidden="1">
      <c r="F175" s="1">
        <v>19</v>
      </c>
      <c r="G175" s="2" t="s">
        <v>24</v>
      </c>
      <c r="H175" s="1" t="s">
        <v>21</v>
      </c>
      <c r="J175" s="2" t="b">
        <f>OR(IF(H175="Poison",TRUE,FALSE),IF(I175="Poison",TRUE,FALSE))</f>
        <v>0</v>
      </c>
    </row>
    <row r="176" spans="6:10" hidden="1">
      <c r="F176" s="1">
        <v>20</v>
      </c>
      <c r="G176" s="2" t="s">
        <v>25</v>
      </c>
      <c r="H176" s="1" t="s">
        <v>21</v>
      </c>
      <c r="J176" s="2" t="b">
        <f>OR(IF(H176="Poison",TRUE,FALSE),IF(I176="Poison",TRUE,FALSE))</f>
        <v>0</v>
      </c>
    </row>
    <row r="177" spans="6:10" hidden="1">
      <c r="F177" s="1">
        <v>21</v>
      </c>
      <c r="G177" s="2" t="s">
        <v>26</v>
      </c>
      <c r="H177" s="1" t="s">
        <v>21</v>
      </c>
      <c r="I177" s="2" t="s">
        <v>306</v>
      </c>
      <c r="J177" s="2" t="b">
        <f>OR(IF(H177="Poison",TRUE,FALSE),IF(I177="Poison",TRUE,FALSE))</f>
        <v>0</v>
      </c>
    </row>
    <row r="178" spans="6:10" hidden="1">
      <c r="F178" s="1">
        <v>22</v>
      </c>
      <c r="G178" s="2" t="s">
        <v>27</v>
      </c>
      <c r="H178" s="1" t="s">
        <v>21</v>
      </c>
      <c r="I178" s="2" t="s">
        <v>306</v>
      </c>
      <c r="J178" s="2" t="b">
        <f>OR(IF(H178="Poison",TRUE,FALSE),IF(I178="Poison",TRUE,FALSE))</f>
        <v>0</v>
      </c>
    </row>
    <row r="179" spans="6:10">
      <c r="F179" s="46">
        <v>94</v>
      </c>
      <c r="G179" s="40" t="s">
        <v>103</v>
      </c>
      <c r="H179" s="46" t="s">
        <v>309</v>
      </c>
      <c r="I179" s="40" t="s">
        <v>2</v>
      </c>
      <c r="J179" s="40" t="b">
        <f>OR(IF(H179="Poison",TRUE,FALSE),IF(I179="Poison",TRUE,FALSE))</f>
        <v>1</v>
      </c>
    </row>
    <row r="180" spans="6:10">
      <c r="F180" s="46">
        <v>44</v>
      </c>
      <c r="G180" s="40" t="s">
        <v>51</v>
      </c>
      <c r="H180" s="46" t="s">
        <v>1</v>
      </c>
      <c r="I180" s="40" t="s">
        <v>2</v>
      </c>
      <c r="J180" s="40" t="b">
        <f>OR(IF(H180="Poison",TRUE,FALSE),IF(I180="Poison",TRUE,FALSE))</f>
        <v>1</v>
      </c>
    </row>
    <row r="181" spans="6:10" hidden="1">
      <c r="F181" s="1">
        <v>25</v>
      </c>
      <c r="G181" s="2" t="s">
        <v>30</v>
      </c>
      <c r="H181" s="1" t="s">
        <v>31</v>
      </c>
      <c r="J181" s="2" t="b">
        <f>OR(IF(H181="Poison",TRUE,FALSE),IF(I181="Poison",TRUE,FALSE))</f>
        <v>0</v>
      </c>
    </row>
    <row r="182" spans="6:10" hidden="1">
      <c r="F182" s="1">
        <v>26</v>
      </c>
      <c r="G182" s="2" t="s">
        <v>32</v>
      </c>
      <c r="H182" s="1" t="s">
        <v>31</v>
      </c>
      <c r="J182" s="2" t="b">
        <f>OR(IF(H182="Poison",TRUE,FALSE),IF(I182="Poison",TRUE,FALSE))</f>
        <v>0</v>
      </c>
    </row>
    <row r="183" spans="6:10" hidden="1">
      <c r="F183" s="1">
        <v>27</v>
      </c>
      <c r="G183" s="2" t="s">
        <v>33</v>
      </c>
      <c r="H183" s="1" t="s">
        <v>34</v>
      </c>
      <c r="J183" s="2" t="b">
        <f>OR(IF(H183="Poison",TRUE,FALSE),IF(I183="Poison",TRUE,FALSE))</f>
        <v>0</v>
      </c>
    </row>
    <row r="184" spans="6:10" hidden="1">
      <c r="F184" s="1">
        <v>28</v>
      </c>
      <c r="G184" s="2" t="s">
        <v>35</v>
      </c>
      <c r="H184" s="1" t="s">
        <v>34</v>
      </c>
      <c r="J184" s="2" t="b">
        <f>OR(IF(H184="Poison",TRUE,FALSE),IF(I184="Poison",TRUE,FALSE))</f>
        <v>0</v>
      </c>
    </row>
    <row r="185" spans="6:10">
      <c r="F185" s="46">
        <v>42</v>
      </c>
      <c r="G185" s="40" t="s">
        <v>49</v>
      </c>
      <c r="H185" s="46" t="s">
        <v>2</v>
      </c>
      <c r="I185" s="40" t="s">
        <v>306</v>
      </c>
      <c r="J185" s="40" t="b">
        <f>OR(IF(H185="Poison",TRUE,FALSE),IF(I185="Poison",TRUE,FALSE))</f>
        <v>1</v>
      </c>
    </row>
    <row r="186" spans="6:10">
      <c r="F186" s="46">
        <v>88</v>
      </c>
      <c r="G186" s="40" t="s">
        <v>97</v>
      </c>
      <c r="H186" s="46" t="s">
        <v>2</v>
      </c>
      <c r="I186" s="40"/>
      <c r="J186" s="40" t="b">
        <f>OR(IF(H186="Poison",TRUE,FALSE),IF(I186="Poison",TRUE,FALSE))</f>
        <v>1</v>
      </c>
    </row>
    <row r="187" spans="6:10">
      <c r="F187" s="46">
        <v>93</v>
      </c>
      <c r="G187" s="40" t="s">
        <v>102</v>
      </c>
      <c r="H187" s="46" t="s">
        <v>309</v>
      </c>
      <c r="I187" s="40" t="s">
        <v>2</v>
      </c>
      <c r="J187" s="40" t="b">
        <f>OR(IF(H187="Poison",TRUE,FALSE),IF(I187="Poison",TRUE,FALSE))</f>
        <v>1</v>
      </c>
    </row>
    <row r="188" spans="6:10">
      <c r="F188" s="46">
        <v>2</v>
      </c>
      <c r="G188" s="40" t="s">
        <v>3</v>
      </c>
      <c r="H188" s="46" t="s">
        <v>1</v>
      </c>
      <c r="I188" s="40" t="s">
        <v>2</v>
      </c>
      <c r="J188" s="40" t="b">
        <f>OR(IF(H188="Poison",TRUE,FALSE),IF(I188="Poison",TRUE,FALSE))</f>
        <v>1</v>
      </c>
    </row>
    <row r="189" spans="6:10">
      <c r="F189" s="46">
        <v>14</v>
      </c>
      <c r="G189" s="40" t="s">
        <v>18</v>
      </c>
      <c r="H189" s="46" t="s">
        <v>14</v>
      </c>
      <c r="I189" s="40" t="s">
        <v>2</v>
      </c>
      <c r="J189" s="40" t="b">
        <f>OR(IF(H189="Poison",TRUE,FALSE),IF(I189="Poison",TRUE,FALSE))</f>
        <v>1</v>
      </c>
    </row>
    <row r="190" spans="6:10">
      <c r="F190" s="46">
        <v>109</v>
      </c>
      <c r="G190" s="40" t="s">
        <v>118</v>
      </c>
      <c r="H190" s="46" t="s">
        <v>2</v>
      </c>
      <c r="I190" s="40"/>
      <c r="J190" s="40" t="b">
        <f>OR(IF(H190="Poison",TRUE,FALSE),IF(I190="Poison",TRUE,FALSE))</f>
        <v>1</v>
      </c>
    </row>
    <row r="191" spans="6:10" hidden="1">
      <c r="F191" s="1">
        <v>35</v>
      </c>
      <c r="G191" s="2" t="s">
        <v>42</v>
      </c>
      <c r="H191" s="1" t="s">
        <v>162</v>
      </c>
      <c r="J191" s="2" t="b">
        <f>OR(IF(H191="Poison",TRUE,FALSE),IF(I191="Poison",TRUE,FALSE))</f>
        <v>0</v>
      </c>
    </row>
    <row r="192" spans="6:10" hidden="1">
      <c r="F192" s="1">
        <v>36</v>
      </c>
      <c r="G192" s="2" t="s">
        <v>43</v>
      </c>
      <c r="H192" s="1" t="s">
        <v>162</v>
      </c>
      <c r="J192" s="2" t="b">
        <f>OR(IF(H192="Poison",TRUE,FALSE),IF(I192="Poison",TRUE,FALSE))</f>
        <v>0</v>
      </c>
    </row>
    <row r="193" spans="6:10" hidden="1">
      <c r="F193" s="1">
        <v>37</v>
      </c>
      <c r="G193" s="2" t="s">
        <v>44</v>
      </c>
      <c r="H193" s="1" t="s">
        <v>6</v>
      </c>
      <c r="J193" s="2" t="b">
        <f>OR(IF(H193="Poison",TRUE,FALSE),IF(I193="Poison",TRUE,FALSE))</f>
        <v>0</v>
      </c>
    </row>
    <row r="194" spans="6:10" hidden="1">
      <c r="F194" s="1">
        <v>38</v>
      </c>
      <c r="G194" s="2" t="s">
        <v>45</v>
      </c>
      <c r="H194" s="1" t="s">
        <v>6</v>
      </c>
      <c r="J194" s="2" t="b">
        <f>OR(IF(H194="Poison",TRUE,FALSE),IF(I194="Poison",TRUE,FALSE))</f>
        <v>0</v>
      </c>
    </row>
    <row r="195" spans="6:10" hidden="1">
      <c r="F195" s="1">
        <v>39</v>
      </c>
      <c r="G195" s="2" t="s">
        <v>46</v>
      </c>
      <c r="H195" s="1" t="s">
        <v>21</v>
      </c>
      <c r="J195" s="2" t="b">
        <f>OR(IF(H195="Poison",TRUE,FALSE),IF(I195="Poison",TRUE,FALSE))</f>
        <v>0</v>
      </c>
    </row>
    <row r="196" spans="6:10" hidden="1">
      <c r="F196" s="1">
        <v>40</v>
      </c>
      <c r="G196" s="2" t="s">
        <v>47</v>
      </c>
      <c r="H196" s="1" t="s">
        <v>21</v>
      </c>
      <c r="J196" s="2" t="b">
        <f>OR(IF(H196="Poison",TRUE,FALSE),IF(I196="Poison",TRUE,FALSE))</f>
        <v>0</v>
      </c>
    </row>
    <row r="197" spans="6:10">
      <c r="F197" s="46">
        <v>89</v>
      </c>
      <c r="G197" s="40" t="s">
        <v>98</v>
      </c>
      <c r="H197" s="46" t="s">
        <v>2</v>
      </c>
      <c r="I197" s="40"/>
      <c r="J197" s="40" t="b">
        <f>OR(IF(H197="Poison",TRUE,FALSE),IF(I197="Poison",TRUE,FALSE))</f>
        <v>1</v>
      </c>
    </row>
    <row r="198" spans="6:10">
      <c r="F198" s="46">
        <v>34</v>
      </c>
      <c r="G198" s="40" t="s">
        <v>41</v>
      </c>
      <c r="H198" s="46" t="s">
        <v>2</v>
      </c>
      <c r="I198" s="40" t="s">
        <v>34</v>
      </c>
      <c r="J198" s="40" t="b">
        <f>OR(IF(H198="Poison",TRUE,FALSE),IF(I198="Poison",TRUE,FALSE))</f>
        <v>1</v>
      </c>
    </row>
    <row r="199" spans="6:10">
      <c r="F199" s="46">
        <v>31</v>
      </c>
      <c r="G199" s="40" t="s">
        <v>38</v>
      </c>
      <c r="H199" s="46" t="s">
        <v>2</v>
      </c>
      <c r="I199" s="40" t="s">
        <v>34</v>
      </c>
      <c r="J199" s="40" t="b">
        <f>OR(IF(H199="Poison",TRUE,FALSE),IF(I199="Poison",TRUE,FALSE))</f>
        <v>1</v>
      </c>
    </row>
    <row r="200" spans="6:10">
      <c r="F200" s="46">
        <v>29</v>
      </c>
      <c r="G200" s="40" t="s">
        <v>36</v>
      </c>
      <c r="H200" s="46" t="s">
        <v>2</v>
      </c>
      <c r="I200" s="40"/>
      <c r="J200" s="40" t="b">
        <f>OR(IF(H200="Poison",TRUE,FALSE),IF(I200="Poison",TRUE,FALSE))</f>
        <v>1</v>
      </c>
    </row>
    <row r="201" spans="6:10">
      <c r="F201" s="46">
        <v>32</v>
      </c>
      <c r="G201" s="40" t="s">
        <v>39</v>
      </c>
      <c r="H201" s="46" t="s">
        <v>2</v>
      </c>
      <c r="I201" s="40"/>
      <c r="J201" s="40" t="b">
        <f>OR(IF(H201="Poison",TRUE,FALSE),IF(I201="Poison",TRUE,FALSE))</f>
        <v>1</v>
      </c>
    </row>
    <row r="202" spans="6:10" hidden="1">
      <c r="F202" s="1">
        <v>46</v>
      </c>
      <c r="G202" s="2" t="s">
        <v>53</v>
      </c>
      <c r="H202" s="1" t="s">
        <v>14</v>
      </c>
      <c r="I202" s="2" t="s">
        <v>1</v>
      </c>
      <c r="J202" s="2" t="b">
        <f>OR(IF(H202="Poison",TRUE,FALSE),IF(I202="Poison",TRUE,FALSE))</f>
        <v>0</v>
      </c>
    </row>
    <row r="203" spans="6:10" hidden="1">
      <c r="F203" s="1">
        <v>47</v>
      </c>
      <c r="G203" s="2" t="s">
        <v>54</v>
      </c>
      <c r="H203" s="1" t="s">
        <v>14</v>
      </c>
      <c r="I203" s="2" t="s">
        <v>1</v>
      </c>
      <c r="J203" s="2" t="b">
        <f>OR(IF(H203="Poison",TRUE,FALSE),IF(I203="Poison",TRUE,FALSE))</f>
        <v>0</v>
      </c>
    </row>
    <row r="204" spans="6:10">
      <c r="F204" s="46">
        <v>30</v>
      </c>
      <c r="G204" s="40" t="s">
        <v>37</v>
      </c>
      <c r="H204" s="46" t="s">
        <v>2</v>
      </c>
      <c r="I204" s="40"/>
      <c r="J204" s="40" t="b">
        <f>OR(IF(H204="Poison",TRUE,FALSE),IF(I204="Poison",TRUE,FALSE))</f>
        <v>1</v>
      </c>
    </row>
    <row r="205" spans="6:10">
      <c r="F205" s="46">
        <v>33</v>
      </c>
      <c r="G205" s="40" t="s">
        <v>40</v>
      </c>
      <c r="H205" s="46" t="s">
        <v>2</v>
      </c>
      <c r="I205" s="40"/>
      <c r="J205" s="40" t="b">
        <f>OR(IF(H205="Poison",TRUE,FALSE),IF(I205="Poison",TRUE,FALSE))</f>
        <v>1</v>
      </c>
    </row>
    <row r="206" spans="6:10" hidden="1">
      <c r="F206" s="1">
        <v>50</v>
      </c>
      <c r="G206" s="2" t="s">
        <v>57</v>
      </c>
      <c r="H206" s="1" t="s">
        <v>34</v>
      </c>
      <c r="J206" s="2" t="b">
        <f>OR(IF(H206="Poison",TRUE,FALSE),IF(I206="Poison",TRUE,FALSE))</f>
        <v>0</v>
      </c>
    </row>
    <row r="207" spans="6:10" hidden="1">
      <c r="F207" s="1">
        <v>51</v>
      </c>
      <c r="G207" s="2" t="s">
        <v>58</v>
      </c>
      <c r="H207" s="1" t="s">
        <v>34</v>
      </c>
      <c r="J207" s="2" t="b">
        <f>OR(IF(H207="Poison",TRUE,FALSE),IF(I207="Poison",TRUE,FALSE))</f>
        <v>0</v>
      </c>
    </row>
    <row r="208" spans="6:10" hidden="1">
      <c r="F208" s="1">
        <v>52</v>
      </c>
      <c r="G208" s="2" t="s">
        <v>59</v>
      </c>
      <c r="H208" s="1" t="s">
        <v>21</v>
      </c>
      <c r="J208" s="2" t="b">
        <f>OR(IF(H208="Poison",TRUE,FALSE),IF(I208="Poison",TRUE,FALSE))</f>
        <v>0</v>
      </c>
    </row>
    <row r="209" spans="6:10" hidden="1">
      <c r="F209" s="1">
        <v>53</v>
      </c>
      <c r="G209" s="2" t="s">
        <v>60</v>
      </c>
      <c r="H209" s="1" t="s">
        <v>21</v>
      </c>
      <c r="J209" s="2" t="b">
        <f>OR(IF(H209="Poison",TRUE,FALSE),IF(I209="Poison",TRUE,FALSE))</f>
        <v>0</v>
      </c>
    </row>
    <row r="210" spans="6:10" hidden="1">
      <c r="F210" s="1">
        <v>54</v>
      </c>
      <c r="G210" s="2" t="s">
        <v>61</v>
      </c>
      <c r="H210" s="1" t="s">
        <v>10</v>
      </c>
      <c r="J210" s="2" t="b">
        <f>OR(IF(H210="Poison",TRUE,FALSE),IF(I210="Poison",TRUE,FALSE))</f>
        <v>0</v>
      </c>
    </row>
    <row r="211" spans="6:10" hidden="1">
      <c r="F211" s="1">
        <v>55</v>
      </c>
      <c r="G211" s="2" t="s">
        <v>62</v>
      </c>
      <c r="H211" s="1" t="s">
        <v>10</v>
      </c>
      <c r="J211" s="2" t="b">
        <f>OR(IF(H211="Poison",TRUE,FALSE),IF(I211="Poison",TRUE,FALSE))</f>
        <v>0</v>
      </c>
    </row>
    <row r="212" spans="6:10" hidden="1">
      <c r="F212" s="1">
        <v>56</v>
      </c>
      <c r="G212" s="2" t="s">
        <v>63</v>
      </c>
      <c r="H212" s="1" t="s">
        <v>64</v>
      </c>
      <c r="J212" s="2" t="b">
        <f>OR(IF(H212="Poison",TRUE,FALSE),IF(I212="Poison",TRUE,FALSE))</f>
        <v>0</v>
      </c>
    </row>
    <row r="213" spans="6:10" hidden="1">
      <c r="F213" s="1">
        <v>57</v>
      </c>
      <c r="G213" s="2" t="s">
        <v>65</v>
      </c>
      <c r="H213" s="1" t="s">
        <v>64</v>
      </c>
      <c r="J213" s="2" t="b">
        <f>OR(IF(H213="Poison",TRUE,FALSE),IF(I213="Poison",TRUE,FALSE))</f>
        <v>0</v>
      </c>
    </row>
    <row r="214" spans="6:10" hidden="1">
      <c r="F214" s="1">
        <v>58</v>
      </c>
      <c r="G214" s="2" t="s">
        <v>66</v>
      </c>
      <c r="H214" s="1" t="s">
        <v>6</v>
      </c>
      <c r="J214" s="2" t="b">
        <f>OR(IF(H214="Poison",TRUE,FALSE),IF(I214="Poison",TRUE,FALSE))</f>
        <v>0</v>
      </c>
    </row>
    <row r="215" spans="6:10" hidden="1">
      <c r="F215" s="1">
        <v>59</v>
      </c>
      <c r="G215" s="2" t="s">
        <v>67</v>
      </c>
      <c r="H215" s="1" t="s">
        <v>6</v>
      </c>
      <c r="J215" s="2" t="b">
        <f>OR(IF(H215="Poison",TRUE,FALSE),IF(I215="Poison",TRUE,FALSE))</f>
        <v>0</v>
      </c>
    </row>
    <row r="216" spans="6:10" hidden="1">
      <c r="F216" s="1">
        <v>60</v>
      </c>
      <c r="G216" s="2" t="s">
        <v>68</v>
      </c>
      <c r="H216" s="1" t="s">
        <v>10</v>
      </c>
      <c r="J216" s="2" t="b">
        <f>OR(IF(H216="Poison",TRUE,FALSE),IF(I216="Poison",TRUE,FALSE))</f>
        <v>0</v>
      </c>
    </row>
    <row r="217" spans="6:10" hidden="1">
      <c r="F217" s="1">
        <v>61</v>
      </c>
      <c r="G217" s="2" t="s">
        <v>69</v>
      </c>
      <c r="H217" s="1" t="s">
        <v>10</v>
      </c>
      <c r="J217" s="2" t="b">
        <f>OR(IF(H217="Poison",TRUE,FALSE),IF(I217="Poison",TRUE,FALSE))</f>
        <v>0</v>
      </c>
    </row>
    <row r="218" spans="6:10" hidden="1">
      <c r="F218" s="1">
        <v>62</v>
      </c>
      <c r="G218" s="2" t="s">
        <v>70</v>
      </c>
      <c r="H218" s="1" t="s">
        <v>10</v>
      </c>
      <c r="I218" s="2" t="s">
        <v>64</v>
      </c>
      <c r="J218" s="2" t="b">
        <f>OR(IF(H218="Poison",TRUE,FALSE),IF(I218="Poison",TRUE,FALSE))</f>
        <v>0</v>
      </c>
    </row>
    <row r="219" spans="6:10" hidden="1">
      <c r="F219" s="1">
        <v>63</v>
      </c>
      <c r="G219" s="2" t="s">
        <v>71</v>
      </c>
      <c r="H219" s="1" t="s">
        <v>72</v>
      </c>
      <c r="J219" s="2" t="b">
        <f>OR(IF(H219="Poison",TRUE,FALSE),IF(I219="Poison",TRUE,FALSE))</f>
        <v>0</v>
      </c>
    </row>
    <row r="220" spans="6:10" hidden="1">
      <c r="F220" s="1">
        <v>64</v>
      </c>
      <c r="G220" s="2" t="s">
        <v>73</v>
      </c>
      <c r="H220" s="1" t="s">
        <v>72</v>
      </c>
      <c r="J220" s="2" t="b">
        <f>OR(IF(H220="Poison",TRUE,FALSE),IF(I220="Poison",TRUE,FALSE))</f>
        <v>0</v>
      </c>
    </row>
    <row r="221" spans="6:10" hidden="1">
      <c r="F221" s="1">
        <v>65</v>
      </c>
      <c r="G221" s="2" t="s">
        <v>74</v>
      </c>
      <c r="H221" s="1" t="s">
        <v>72</v>
      </c>
      <c r="J221" s="2" t="b">
        <f>OR(IF(H221="Poison",TRUE,FALSE),IF(I221="Poison",TRUE,FALSE))</f>
        <v>0</v>
      </c>
    </row>
    <row r="222" spans="6:10" hidden="1">
      <c r="F222" s="1">
        <v>66</v>
      </c>
      <c r="G222" s="2" t="s">
        <v>75</v>
      </c>
      <c r="H222" s="1" t="s">
        <v>64</v>
      </c>
      <c r="J222" s="2" t="b">
        <f>OR(IF(H222="Poison",TRUE,FALSE),IF(I222="Poison",TRUE,FALSE))</f>
        <v>0</v>
      </c>
    </row>
    <row r="223" spans="6:10" hidden="1">
      <c r="F223" s="1">
        <v>67</v>
      </c>
      <c r="G223" s="2" t="s">
        <v>76</v>
      </c>
      <c r="H223" s="1" t="s">
        <v>64</v>
      </c>
      <c r="J223" s="2" t="b">
        <f>OR(IF(H223="Poison",TRUE,FALSE),IF(I223="Poison",TRUE,FALSE))</f>
        <v>0</v>
      </c>
    </row>
    <row r="224" spans="6:10" hidden="1">
      <c r="F224" s="1">
        <v>68</v>
      </c>
      <c r="G224" s="2" t="s">
        <v>77</v>
      </c>
      <c r="H224" s="1" t="s">
        <v>64</v>
      </c>
      <c r="J224" s="2" t="b">
        <f>OR(IF(H224="Poison",TRUE,FALSE),IF(I224="Poison",TRUE,FALSE))</f>
        <v>0</v>
      </c>
    </row>
    <row r="225" spans="6:10">
      <c r="F225" s="46">
        <v>43</v>
      </c>
      <c r="G225" s="40" t="s">
        <v>50</v>
      </c>
      <c r="H225" s="46" t="s">
        <v>1</v>
      </c>
      <c r="I225" s="40" t="s">
        <v>2</v>
      </c>
      <c r="J225" s="40" t="b">
        <f>OR(IF(H225="Poison",TRUE,FALSE),IF(I225="Poison",TRUE,FALSE))</f>
        <v>1</v>
      </c>
    </row>
    <row r="226" spans="6:10">
      <c r="F226" s="46">
        <v>72</v>
      </c>
      <c r="G226" s="40" t="s">
        <v>81</v>
      </c>
      <c r="H226" s="46" t="s">
        <v>10</v>
      </c>
      <c r="I226" s="40" t="s">
        <v>2</v>
      </c>
      <c r="J226" s="40" t="b">
        <f>OR(IF(H226="Poison",TRUE,FALSE),IF(I226="Poison",TRUE,FALSE))</f>
        <v>1</v>
      </c>
    </row>
    <row r="227" spans="6:10">
      <c r="F227" s="46">
        <v>73</v>
      </c>
      <c r="G227" s="40" t="s">
        <v>82</v>
      </c>
      <c r="H227" s="46" t="s">
        <v>10</v>
      </c>
      <c r="I227" s="40" t="s">
        <v>2</v>
      </c>
      <c r="J227" s="40" t="b">
        <f>OR(IF(H227="Poison",TRUE,FALSE),IF(I227="Poison",TRUE,FALSE))</f>
        <v>1</v>
      </c>
    </row>
    <row r="228" spans="6:10">
      <c r="F228" s="46">
        <v>49</v>
      </c>
      <c r="G228" s="40" t="s">
        <v>56</v>
      </c>
      <c r="H228" s="46" t="s">
        <v>14</v>
      </c>
      <c r="I228" s="40" t="s">
        <v>2</v>
      </c>
      <c r="J228" s="40" t="b">
        <f>OR(IF(H228="Poison",TRUE,FALSE),IF(I228="Poison",TRUE,FALSE))</f>
        <v>1</v>
      </c>
    </row>
    <row r="229" spans="6:10">
      <c r="F229" s="46">
        <v>48</v>
      </c>
      <c r="G229" s="40" t="s">
        <v>55</v>
      </c>
      <c r="H229" s="46" t="s">
        <v>14</v>
      </c>
      <c r="I229" s="40" t="s">
        <v>2</v>
      </c>
      <c r="J229" s="40" t="b">
        <f>OR(IF(H229="Poison",TRUE,FALSE),IF(I229="Poison",TRUE,FALSE))</f>
        <v>1</v>
      </c>
    </row>
    <row r="230" spans="6:10" hidden="1">
      <c r="F230" s="1">
        <v>74</v>
      </c>
      <c r="G230" s="2" t="s">
        <v>83</v>
      </c>
      <c r="H230" s="1" t="s">
        <v>307</v>
      </c>
      <c r="I230" s="2" t="s">
        <v>34</v>
      </c>
      <c r="J230" s="2" t="b">
        <f>OR(IF(H230="Poison",TRUE,FALSE),IF(I230="Poison",TRUE,FALSE))</f>
        <v>0</v>
      </c>
    </row>
    <row r="231" spans="6:10" hidden="1">
      <c r="F231" s="1">
        <v>75</v>
      </c>
      <c r="G231" s="2" t="s">
        <v>84</v>
      </c>
      <c r="H231" s="1" t="s">
        <v>307</v>
      </c>
      <c r="I231" s="2" t="s">
        <v>34</v>
      </c>
      <c r="J231" s="2" t="b">
        <f>OR(IF(H231="Poison",TRUE,FALSE),IF(I231="Poison",TRUE,FALSE))</f>
        <v>0</v>
      </c>
    </row>
    <row r="232" spans="6:10" hidden="1">
      <c r="F232" s="1">
        <v>76</v>
      </c>
      <c r="G232" s="2" t="s">
        <v>85</v>
      </c>
      <c r="H232" s="1" t="s">
        <v>307</v>
      </c>
      <c r="I232" s="2" t="s">
        <v>34</v>
      </c>
      <c r="J232" s="2" t="b">
        <f>OR(IF(H232="Poison",TRUE,FALSE),IF(I232="Poison",TRUE,FALSE))</f>
        <v>0</v>
      </c>
    </row>
    <row r="233" spans="6:10" hidden="1">
      <c r="F233" s="1">
        <v>77</v>
      </c>
      <c r="G233" s="2" t="s">
        <v>86</v>
      </c>
      <c r="H233" s="1" t="s">
        <v>6</v>
      </c>
      <c r="J233" s="2" t="b">
        <f>OR(IF(H233="Poison",TRUE,FALSE),IF(I233="Poison",TRUE,FALSE))</f>
        <v>0</v>
      </c>
    </row>
    <row r="234" spans="6:10" hidden="1">
      <c r="F234" s="1">
        <v>78</v>
      </c>
      <c r="G234" s="2" t="s">
        <v>87</v>
      </c>
      <c r="H234" s="1" t="s">
        <v>6</v>
      </c>
      <c r="J234" s="2" t="b">
        <f>OR(IF(H234="Poison",TRUE,FALSE),IF(I234="Poison",TRUE,FALSE))</f>
        <v>0</v>
      </c>
    </row>
    <row r="235" spans="6:10" hidden="1">
      <c r="F235" s="1">
        <v>79</v>
      </c>
      <c r="G235" s="2" t="s">
        <v>88</v>
      </c>
      <c r="H235" s="1" t="s">
        <v>10</v>
      </c>
      <c r="I235" s="2" t="s">
        <v>72</v>
      </c>
      <c r="J235" s="2" t="b">
        <f>OR(IF(H235="Poison",TRUE,FALSE),IF(I235="Poison",TRUE,FALSE))</f>
        <v>0</v>
      </c>
    </row>
    <row r="236" spans="6:10" hidden="1">
      <c r="F236" s="1">
        <v>80</v>
      </c>
      <c r="G236" s="2" t="s">
        <v>89</v>
      </c>
      <c r="H236" s="1" t="s">
        <v>10</v>
      </c>
      <c r="I236" s="2" t="s">
        <v>72</v>
      </c>
      <c r="J236" s="2" t="b">
        <f>OR(IF(H236="Poison",TRUE,FALSE),IF(I236="Poison",TRUE,FALSE))</f>
        <v>0</v>
      </c>
    </row>
    <row r="237" spans="6:10" hidden="1">
      <c r="F237" s="1">
        <v>81</v>
      </c>
      <c r="G237" s="2" t="s">
        <v>90</v>
      </c>
      <c r="H237" s="1" t="s">
        <v>31</v>
      </c>
      <c r="J237" s="2" t="b">
        <f>OR(IF(H237="Poison",TRUE,FALSE),IF(I237="Poison",TRUE,FALSE))</f>
        <v>0</v>
      </c>
    </row>
    <row r="238" spans="6:10" hidden="1">
      <c r="F238" s="1">
        <v>82</v>
      </c>
      <c r="G238" s="2" t="s">
        <v>91</v>
      </c>
      <c r="H238" s="1" t="s">
        <v>31</v>
      </c>
      <c r="J238" s="2" t="b">
        <f>OR(IF(H238="Poison",TRUE,FALSE),IF(I238="Poison",TRUE,FALSE))</f>
        <v>0</v>
      </c>
    </row>
    <row r="239" spans="6:10" hidden="1">
      <c r="F239" s="1">
        <v>83</v>
      </c>
      <c r="G239" s="2" t="s">
        <v>92</v>
      </c>
      <c r="H239" s="1" t="s">
        <v>21</v>
      </c>
      <c r="I239" s="2" t="s">
        <v>306</v>
      </c>
      <c r="J239" s="2" t="b">
        <f>OR(IF(H239="Poison",TRUE,FALSE),IF(I239="Poison",TRUE,FALSE))</f>
        <v>0</v>
      </c>
    </row>
    <row r="240" spans="6:10" hidden="1">
      <c r="F240" s="1">
        <v>84</v>
      </c>
      <c r="G240" s="2" t="s">
        <v>93</v>
      </c>
      <c r="H240" s="1" t="s">
        <v>21</v>
      </c>
      <c r="I240" s="2" t="s">
        <v>306</v>
      </c>
      <c r="J240" s="2" t="b">
        <f>OR(IF(H240="Poison",TRUE,FALSE),IF(I240="Poison",TRUE,FALSE))</f>
        <v>0</v>
      </c>
    </row>
    <row r="241" spans="6:10" hidden="1">
      <c r="F241" s="1">
        <v>85</v>
      </c>
      <c r="G241" s="2" t="s">
        <v>94</v>
      </c>
      <c r="H241" s="1" t="s">
        <v>21</v>
      </c>
      <c r="I241" s="2" t="s">
        <v>306</v>
      </c>
      <c r="J241" s="2" t="b">
        <f>OR(IF(H241="Poison",TRUE,FALSE),IF(I241="Poison",TRUE,FALSE))</f>
        <v>0</v>
      </c>
    </row>
    <row r="242" spans="6:10" hidden="1">
      <c r="F242" s="1">
        <v>86</v>
      </c>
      <c r="G242" s="2" t="s">
        <v>95</v>
      </c>
      <c r="H242" s="1" t="s">
        <v>10</v>
      </c>
      <c r="J242" s="2" t="b">
        <f>OR(IF(H242="Poison",TRUE,FALSE),IF(I242="Poison",TRUE,FALSE))</f>
        <v>0</v>
      </c>
    </row>
    <row r="243" spans="6:10" hidden="1">
      <c r="F243" s="1">
        <v>87</v>
      </c>
      <c r="G243" s="2" t="s">
        <v>96</v>
      </c>
      <c r="H243" s="1" t="s">
        <v>10</v>
      </c>
      <c r="I243" s="2" t="s">
        <v>308</v>
      </c>
      <c r="J243" s="2" t="b">
        <f>OR(IF(H243="Poison",TRUE,FALSE),IF(I243="Poison",TRUE,FALSE))</f>
        <v>0</v>
      </c>
    </row>
    <row r="244" spans="6:10">
      <c r="F244" s="46">
        <v>3</v>
      </c>
      <c r="G244" s="40" t="s">
        <v>4</v>
      </c>
      <c r="H244" s="46" t="s">
        <v>1</v>
      </c>
      <c r="I244" s="40" t="s">
        <v>2</v>
      </c>
      <c r="J244" s="40" t="b">
        <f>OR(IF(H244="Poison",TRUE,FALSE),IF(I244="Poison",TRUE,FALSE))</f>
        <v>1</v>
      </c>
    </row>
    <row r="245" spans="6:10">
      <c r="F245" s="46">
        <v>71</v>
      </c>
      <c r="G245" s="40" t="s">
        <v>80</v>
      </c>
      <c r="H245" s="46" t="s">
        <v>1</v>
      </c>
      <c r="I245" s="40" t="s">
        <v>2</v>
      </c>
      <c r="J245" s="40" t="b">
        <f>OR(IF(H245="Poison",TRUE,FALSE),IF(I245="Poison",TRUE,FALSE))</f>
        <v>1</v>
      </c>
    </row>
    <row r="246" spans="6:10" hidden="1">
      <c r="F246" s="1">
        <v>90</v>
      </c>
      <c r="G246" s="2" t="s">
        <v>99</v>
      </c>
      <c r="H246" s="1" t="s">
        <v>10</v>
      </c>
      <c r="J246" s="2" t="b">
        <f>OR(IF(H246="Poison",TRUE,FALSE),IF(I246="Poison",TRUE,FALSE))</f>
        <v>0</v>
      </c>
    </row>
    <row r="247" spans="6:10" hidden="1">
      <c r="F247" s="1">
        <v>91</v>
      </c>
      <c r="G247" s="2" t="s">
        <v>100</v>
      </c>
      <c r="H247" s="1" t="s">
        <v>10</v>
      </c>
      <c r="I247" s="2" t="s">
        <v>308</v>
      </c>
      <c r="J247" s="2" t="b">
        <f>OR(IF(H247="Poison",TRUE,FALSE),IF(I247="Poison",TRUE,FALSE))</f>
        <v>0</v>
      </c>
    </row>
    <row r="248" spans="6:10">
      <c r="F248" s="46">
        <v>45</v>
      </c>
      <c r="G248" s="40" t="s">
        <v>52</v>
      </c>
      <c r="H248" s="46" t="s">
        <v>1</v>
      </c>
      <c r="I248" s="40" t="s">
        <v>2</v>
      </c>
      <c r="J248" s="40" t="b">
        <f>OR(IF(H248="Poison",TRUE,FALSE),IF(I248="Poison",TRUE,FALSE))</f>
        <v>1</v>
      </c>
    </row>
    <row r="249" spans="6:10">
      <c r="F249" s="46">
        <v>13</v>
      </c>
      <c r="G249" s="40" t="s">
        <v>17</v>
      </c>
      <c r="H249" s="46" t="s">
        <v>14</v>
      </c>
      <c r="I249" s="40" t="s">
        <v>2</v>
      </c>
      <c r="J249" s="40" t="b">
        <f>OR(IF(H249="Poison",TRUE,FALSE),IF(I249="Poison",TRUE,FALSE))</f>
        <v>1</v>
      </c>
    </row>
    <row r="250" spans="6:10">
      <c r="F250" s="46">
        <v>70</v>
      </c>
      <c r="G250" s="40" t="s">
        <v>79</v>
      </c>
      <c r="H250" s="46" t="s">
        <v>1</v>
      </c>
      <c r="I250" s="40" t="s">
        <v>2</v>
      </c>
      <c r="J250" s="40" t="b">
        <f>OR(IF(H250="Poison",TRUE,FALSE),IF(I250="Poison",TRUE,FALSE))</f>
        <v>1</v>
      </c>
    </row>
    <row r="251" spans="6:10" hidden="1">
      <c r="F251" s="1">
        <v>95</v>
      </c>
      <c r="G251" s="2" t="s">
        <v>104</v>
      </c>
      <c r="H251" s="1" t="s">
        <v>307</v>
      </c>
      <c r="I251" s="2" t="s">
        <v>34</v>
      </c>
      <c r="J251" s="2" t="b">
        <f>OR(IF(H251="Poison",TRUE,FALSE),IF(I251="Poison",TRUE,FALSE))</f>
        <v>0</v>
      </c>
    </row>
    <row r="252" spans="6:10" hidden="1">
      <c r="F252" s="1">
        <v>96</v>
      </c>
      <c r="G252" s="2" t="s">
        <v>105</v>
      </c>
      <c r="H252" s="1" t="s">
        <v>72</v>
      </c>
      <c r="J252" s="2" t="b">
        <f>OR(IF(H252="Poison",TRUE,FALSE),IF(I252="Poison",TRUE,FALSE))</f>
        <v>0</v>
      </c>
    </row>
    <row r="253" spans="6:10" hidden="1">
      <c r="F253" s="1">
        <v>97</v>
      </c>
      <c r="G253" s="2" t="s">
        <v>106</v>
      </c>
      <c r="H253" s="1" t="s">
        <v>72</v>
      </c>
      <c r="J253" s="2" t="b">
        <f>OR(IF(H253="Poison",TRUE,FALSE),IF(I253="Poison",TRUE,FALSE))</f>
        <v>0</v>
      </c>
    </row>
    <row r="254" spans="6:10" hidden="1">
      <c r="F254" s="1">
        <v>98</v>
      </c>
      <c r="G254" s="2" t="s">
        <v>107</v>
      </c>
      <c r="H254" s="1" t="s">
        <v>10</v>
      </c>
      <c r="J254" s="2" t="b">
        <f>OR(IF(H254="Poison",TRUE,FALSE),IF(I254="Poison",TRUE,FALSE))</f>
        <v>0</v>
      </c>
    </row>
    <row r="255" spans="6:10" hidden="1">
      <c r="F255" s="1">
        <v>99</v>
      </c>
      <c r="G255" s="2" t="s">
        <v>108</v>
      </c>
      <c r="H255" s="1" t="s">
        <v>10</v>
      </c>
      <c r="J255" s="2" t="b">
        <f>OR(IF(H255="Poison",TRUE,FALSE),IF(I255="Poison",TRUE,FALSE))</f>
        <v>0</v>
      </c>
    </row>
    <row r="256" spans="6:10" hidden="1">
      <c r="F256" s="1">
        <v>100</v>
      </c>
      <c r="G256" s="2" t="s">
        <v>109</v>
      </c>
      <c r="H256" s="1" t="s">
        <v>31</v>
      </c>
      <c r="J256" s="2" t="b">
        <f>OR(IF(H256="Poison",TRUE,FALSE),IF(I256="Poison",TRUE,FALSE))</f>
        <v>0</v>
      </c>
    </row>
    <row r="257" spans="6:10" hidden="1">
      <c r="F257" s="1">
        <v>101</v>
      </c>
      <c r="G257" s="2" t="s">
        <v>110</v>
      </c>
      <c r="H257" s="1" t="s">
        <v>31</v>
      </c>
      <c r="J257" s="2" t="b">
        <f>OR(IF(H257="Poison",TRUE,FALSE),IF(I257="Poison",TRUE,FALSE))</f>
        <v>0</v>
      </c>
    </row>
    <row r="258" spans="6:10" hidden="1">
      <c r="F258" s="1">
        <v>102</v>
      </c>
      <c r="G258" s="2" t="s">
        <v>111</v>
      </c>
      <c r="H258" s="1" t="s">
        <v>1</v>
      </c>
      <c r="I258" s="2" t="s">
        <v>72</v>
      </c>
      <c r="J258" s="2" t="b">
        <f>OR(IF(H258="Poison",TRUE,FALSE),IF(I258="Poison",TRUE,FALSE))</f>
        <v>0</v>
      </c>
    </row>
    <row r="259" spans="6:10" hidden="1">
      <c r="F259" s="1">
        <v>103</v>
      </c>
      <c r="G259" s="2" t="s">
        <v>112</v>
      </c>
      <c r="H259" s="1" t="s">
        <v>1</v>
      </c>
      <c r="I259" s="2" t="s">
        <v>72</v>
      </c>
      <c r="J259" s="2" t="b">
        <f>OR(IF(H259="Poison",TRUE,FALSE),IF(I259="Poison",TRUE,FALSE))</f>
        <v>0</v>
      </c>
    </row>
    <row r="260" spans="6:10" hidden="1">
      <c r="F260" s="1">
        <v>104</v>
      </c>
      <c r="G260" s="2" t="s">
        <v>113</v>
      </c>
      <c r="H260" s="1" t="s">
        <v>34</v>
      </c>
      <c r="J260" s="2" t="b">
        <f>OR(IF(H260="Poison",TRUE,FALSE),IF(I260="Poison",TRUE,FALSE))</f>
        <v>0</v>
      </c>
    </row>
    <row r="261" spans="6:10" hidden="1">
      <c r="F261" s="1">
        <v>105</v>
      </c>
      <c r="G261" s="2" t="s">
        <v>114</v>
      </c>
      <c r="H261" s="1" t="s">
        <v>34</v>
      </c>
      <c r="J261" s="2" t="b">
        <f>OR(IF(H261="Poison",TRUE,FALSE),IF(I261="Poison",TRUE,FALSE))</f>
        <v>0</v>
      </c>
    </row>
    <row r="262" spans="6:10" hidden="1">
      <c r="F262" s="1">
        <v>106</v>
      </c>
      <c r="G262" s="2" t="s">
        <v>115</v>
      </c>
      <c r="H262" s="1" t="s">
        <v>64</v>
      </c>
      <c r="J262" s="2" t="b">
        <f>OR(IF(H262="Poison",TRUE,FALSE),IF(I262="Poison",TRUE,FALSE))</f>
        <v>0</v>
      </c>
    </row>
    <row r="263" spans="6:10" hidden="1">
      <c r="F263" s="1">
        <v>107</v>
      </c>
      <c r="G263" s="2" t="s">
        <v>116</v>
      </c>
      <c r="H263" s="1" t="s">
        <v>64</v>
      </c>
      <c r="J263" s="2" t="b">
        <f>OR(IF(H263="Poison",TRUE,FALSE),IF(I263="Poison",TRUE,FALSE))</f>
        <v>0</v>
      </c>
    </row>
    <row r="264" spans="6:10" hidden="1">
      <c r="F264" s="1">
        <v>108</v>
      </c>
      <c r="G264" s="2" t="s">
        <v>117</v>
      </c>
      <c r="H264" s="1" t="s">
        <v>21</v>
      </c>
      <c r="J264" s="2" t="b">
        <f>OR(IF(H264="Poison",TRUE,FALSE),IF(I264="Poison",TRUE,FALSE))</f>
        <v>0</v>
      </c>
    </row>
    <row r="265" spans="6:10">
      <c r="F265" s="46">
        <v>110</v>
      </c>
      <c r="G265" s="40" t="s">
        <v>119</v>
      </c>
      <c r="H265" s="46" t="s">
        <v>2</v>
      </c>
      <c r="I265" s="40"/>
      <c r="J265" s="40" t="b">
        <f>OR(IF(H265="Poison",TRUE,FALSE),IF(I265="Poison",TRUE,FALSE))</f>
        <v>1</v>
      </c>
    </row>
    <row r="266" spans="6:10">
      <c r="F266" s="46">
        <v>41</v>
      </c>
      <c r="G266" s="40" t="s">
        <v>48</v>
      </c>
      <c r="H266" s="46" t="s">
        <v>2</v>
      </c>
      <c r="I266" s="40" t="s">
        <v>306</v>
      </c>
      <c r="J266" s="40" t="b">
        <f>OR(IF(H266="Poison",TRUE,FALSE),IF(I266="Poison",TRUE,FALSE))</f>
        <v>1</v>
      </c>
    </row>
    <row r="267" spans="6:10" hidden="1">
      <c r="F267" s="1">
        <v>111</v>
      </c>
      <c r="G267" s="2" t="s">
        <v>120</v>
      </c>
      <c r="H267" s="1" t="s">
        <v>34</v>
      </c>
      <c r="I267" s="2" t="s">
        <v>307</v>
      </c>
      <c r="J267" s="2" t="b">
        <f t="shared" ref="J222:J285" si="0">OR(IF(H267="Poison",TRUE,FALSE),IF(I267="Poison",TRUE,FALSE))</f>
        <v>0</v>
      </c>
    </row>
    <row r="268" spans="6:10" hidden="1">
      <c r="F268" s="1">
        <v>112</v>
      </c>
      <c r="G268" s="2" t="s">
        <v>121</v>
      </c>
      <c r="H268" s="1" t="s">
        <v>34</v>
      </c>
      <c r="I268" s="2" t="s">
        <v>307</v>
      </c>
      <c r="J268" s="2" t="b">
        <f t="shared" si="0"/>
        <v>0</v>
      </c>
    </row>
    <row r="269" spans="6:10" hidden="1">
      <c r="F269" s="1">
        <v>113</v>
      </c>
      <c r="G269" s="2" t="s">
        <v>122</v>
      </c>
      <c r="H269" s="1" t="s">
        <v>21</v>
      </c>
      <c r="J269" s="2" t="b">
        <f t="shared" si="0"/>
        <v>0</v>
      </c>
    </row>
    <row r="270" spans="6:10" hidden="1">
      <c r="F270" s="1">
        <v>114</v>
      </c>
      <c r="G270" s="2" t="s">
        <v>123</v>
      </c>
      <c r="H270" s="1" t="s">
        <v>1</v>
      </c>
      <c r="J270" s="2" t="b">
        <f t="shared" si="0"/>
        <v>0</v>
      </c>
    </row>
    <row r="271" spans="6:10" hidden="1">
      <c r="F271" s="1">
        <v>115</v>
      </c>
      <c r="G271" s="2" t="s">
        <v>124</v>
      </c>
      <c r="H271" s="1" t="s">
        <v>21</v>
      </c>
      <c r="J271" s="2" t="b">
        <f t="shared" si="0"/>
        <v>0</v>
      </c>
    </row>
    <row r="272" spans="6:10" hidden="1">
      <c r="F272" s="1">
        <v>116</v>
      </c>
      <c r="G272" s="2" t="s">
        <v>125</v>
      </c>
      <c r="H272" s="1" t="s">
        <v>10</v>
      </c>
      <c r="J272" s="2" t="b">
        <f t="shared" si="0"/>
        <v>0</v>
      </c>
    </row>
    <row r="273" spans="6:10" hidden="1">
      <c r="F273" s="1">
        <v>117</v>
      </c>
      <c r="G273" s="2" t="s">
        <v>126</v>
      </c>
      <c r="H273" s="1" t="s">
        <v>10</v>
      </c>
      <c r="J273" s="2" t="b">
        <f t="shared" si="0"/>
        <v>0</v>
      </c>
    </row>
    <row r="274" spans="6:10" hidden="1">
      <c r="F274" s="1">
        <v>118</v>
      </c>
      <c r="G274" s="2" t="s">
        <v>127</v>
      </c>
      <c r="H274" s="1" t="s">
        <v>10</v>
      </c>
      <c r="J274" s="2" t="b">
        <f t="shared" si="0"/>
        <v>0</v>
      </c>
    </row>
    <row r="275" spans="6:10" hidden="1">
      <c r="F275" s="1">
        <v>119</v>
      </c>
      <c r="G275" s="2" t="s">
        <v>128</v>
      </c>
      <c r="H275" s="1" t="s">
        <v>10</v>
      </c>
      <c r="J275" s="2" t="b">
        <f t="shared" si="0"/>
        <v>0</v>
      </c>
    </row>
    <row r="276" spans="6:10" hidden="1">
      <c r="F276" s="1">
        <v>120</v>
      </c>
      <c r="G276" s="2" t="s">
        <v>129</v>
      </c>
      <c r="H276" s="1" t="s">
        <v>10</v>
      </c>
      <c r="J276" s="2" t="b">
        <f t="shared" si="0"/>
        <v>0</v>
      </c>
    </row>
    <row r="277" spans="6:10" hidden="1">
      <c r="F277" s="1">
        <v>121</v>
      </c>
      <c r="G277" s="2" t="s">
        <v>130</v>
      </c>
      <c r="H277" s="1" t="s">
        <v>10</v>
      </c>
      <c r="I277" s="2" t="s">
        <v>72</v>
      </c>
      <c r="J277" s="2" t="b">
        <f t="shared" si="0"/>
        <v>0</v>
      </c>
    </row>
    <row r="278" spans="6:10" hidden="1">
      <c r="F278" s="1">
        <v>122</v>
      </c>
      <c r="G278" s="2" t="s">
        <v>131</v>
      </c>
      <c r="H278" s="1" t="s">
        <v>72</v>
      </c>
      <c r="J278" s="2" t="b">
        <f t="shared" si="0"/>
        <v>0</v>
      </c>
    </row>
    <row r="279" spans="6:10" hidden="1">
      <c r="F279" s="1">
        <v>123</v>
      </c>
      <c r="G279" s="2" t="s">
        <v>132</v>
      </c>
      <c r="H279" s="1" t="s">
        <v>14</v>
      </c>
      <c r="I279" s="2" t="s">
        <v>306</v>
      </c>
      <c r="J279" s="2" t="b">
        <f t="shared" si="0"/>
        <v>0</v>
      </c>
    </row>
    <row r="280" spans="6:10" hidden="1">
      <c r="F280" s="1">
        <v>124</v>
      </c>
      <c r="G280" s="2" t="s">
        <v>133</v>
      </c>
      <c r="H280" s="1" t="s">
        <v>308</v>
      </c>
      <c r="I280" s="2" t="s">
        <v>72</v>
      </c>
      <c r="J280" s="2" t="b">
        <f t="shared" si="0"/>
        <v>0</v>
      </c>
    </row>
    <row r="281" spans="6:10" hidden="1">
      <c r="F281" s="1">
        <v>125</v>
      </c>
      <c r="G281" s="2" t="s">
        <v>134</v>
      </c>
      <c r="H281" s="1" t="s">
        <v>31</v>
      </c>
      <c r="J281" s="2" t="b">
        <f t="shared" si="0"/>
        <v>0</v>
      </c>
    </row>
    <row r="282" spans="6:10" hidden="1">
      <c r="F282" s="1">
        <v>126</v>
      </c>
      <c r="G282" s="2" t="s">
        <v>135</v>
      </c>
      <c r="H282" s="1" t="s">
        <v>6</v>
      </c>
      <c r="J282" s="2" t="b">
        <f t="shared" si="0"/>
        <v>0</v>
      </c>
    </row>
    <row r="283" spans="6:10" hidden="1">
      <c r="F283" s="1">
        <v>127</v>
      </c>
      <c r="G283" s="2" t="s">
        <v>136</v>
      </c>
      <c r="H283" s="1" t="s">
        <v>14</v>
      </c>
      <c r="J283" s="2" t="b">
        <f t="shared" si="0"/>
        <v>0</v>
      </c>
    </row>
    <row r="284" spans="6:10" hidden="1">
      <c r="F284" s="1">
        <v>128</v>
      </c>
      <c r="G284" s="2" t="s">
        <v>137</v>
      </c>
      <c r="H284" s="1" t="s">
        <v>21</v>
      </c>
      <c r="J284" s="2" t="b">
        <f t="shared" si="0"/>
        <v>0</v>
      </c>
    </row>
    <row r="285" spans="6:10" hidden="1">
      <c r="F285" s="1">
        <v>129</v>
      </c>
      <c r="G285" s="2" t="s">
        <v>138</v>
      </c>
      <c r="H285" s="1" t="s">
        <v>10</v>
      </c>
      <c r="J285" s="2" t="b">
        <f t="shared" si="0"/>
        <v>0</v>
      </c>
    </row>
    <row r="286" spans="6:10" hidden="1">
      <c r="F286" s="1">
        <v>130</v>
      </c>
      <c r="G286" s="2" t="s">
        <v>139</v>
      </c>
      <c r="H286" s="1" t="s">
        <v>10</v>
      </c>
      <c r="I286" s="2" t="s">
        <v>306</v>
      </c>
      <c r="J286" s="2" t="b">
        <f t="shared" ref="J286:J307" si="1">OR(IF(H286="Poison",TRUE,FALSE),IF(I286="Poison",TRUE,FALSE))</f>
        <v>0</v>
      </c>
    </row>
    <row r="287" spans="6:10" hidden="1">
      <c r="F287" s="1">
        <v>131</v>
      </c>
      <c r="G287" s="2" t="s">
        <v>140</v>
      </c>
      <c r="H287" s="1" t="s">
        <v>10</v>
      </c>
      <c r="I287" s="2" t="s">
        <v>308</v>
      </c>
      <c r="J287" s="2" t="b">
        <f t="shared" si="1"/>
        <v>0</v>
      </c>
    </row>
    <row r="288" spans="6:10" hidden="1">
      <c r="F288" s="1">
        <v>132</v>
      </c>
      <c r="G288" s="2" t="s">
        <v>141</v>
      </c>
      <c r="H288" s="1" t="s">
        <v>21</v>
      </c>
      <c r="J288" s="2" t="b">
        <f t="shared" si="1"/>
        <v>0</v>
      </c>
    </row>
    <row r="289" spans="6:10" hidden="1">
      <c r="F289" s="1">
        <v>133</v>
      </c>
      <c r="G289" s="2" t="s">
        <v>142</v>
      </c>
      <c r="H289" s="1" t="s">
        <v>21</v>
      </c>
      <c r="J289" s="2" t="b">
        <f t="shared" si="1"/>
        <v>0</v>
      </c>
    </row>
    <row r="290" spans="6:10" hidden="1">
      <c r="F290" s="1">
        <v>134</v>
      </c>
      <c r="G290" s="2" t="s">
        <v>143</v>
      </c>
      <c r="H290" s="1" t="s">
        <v>10</v>
      </c>
      <c r="J290" s="2" t="b">
        <f t="shared" si="1"/>
        <v>0</v>
      </c>
    </row>
    <row r="291" spans="6:10" hidden="1">
      <c r="F291" s="1">
        <v>135</v>
      </c>
      <c r="G291" s="2" t="s">
        <v>144</v>
      </c>
      <c r="H291" s="1" t="s">
        <v>31</v>
      </c>
      <c r="J291" s="2" t="b">
        <f t="shared" si="1"/>
        <v>0</v>
      </c>
    </row>
    <row r="292" spans="6:10" hidden="1">
      <c r="F292" s="1">
        <v>136</v>
      </c>
      <c r="G292" s="2" t="s">
        <v>145</v>
      </c>
      <c r="H292" s="1" t="s">
        <v>6</v>
      </c>
      <c r="J292" s="2" t="b">
        <f t="shared" si="1"/>
        <v>0</v>
      </c>
    </row>
    <row r="293" spans="6:10" hidden="1">
      <c r="F293" s="1">
        <v>137</v>
      </c>
      <c r="G293" s="2" t="s">
        <v>146</v>
      </c>
      <c r="H293" s="1" t="s">
        <v>21</v>
      </c>
      <c r="J293" s="2" t="b">
        <f t="shared" si="1"/>
        <v>0</v>
      </c>
    </row>
    <row r="294" spans="6:10" hidden="1">
      <c r="F294" s="1">
        <v>138</v>
      </c>
      <c r="G294" s="2" t="s">
        <v>147</v>
      </c>
      <c r="H294" s="1" t="s">
        <v>307</v>
      </c>
      <c r="I294" s="2" t="s">
        <v>10</v>
      </c>
      <c r="J294" s="2" t="b">
        <f t="shared" si="1"/>
        <v>0</v>
      </c>
    </row>
    <row r="295" spans="6:10" hidden="1">
      <c r="F295" s="1">
        <v>139</v>
      </c>
      <c r="G295" s="2" t="s">
        <v>148</v>
      </c>
      <c r="H295" s="1" t="s">
        <v>307</v>
      </c>
      <c r="I295" s="2" t="s">
        <v>10</v>
      </c>
      <c r="J295" s="2" t="b">
        <f t="shared" si="1"/>
        <v>0</v>
      </c>
    </row>
    <row r="296" spans="6:10" hidden="1">
      <c r="F296" s="1">
        <v>140</v>
      </c>
      <c r="G296" s="2" t="s">
        <v>149</v>
      </c>
      <c r="H296" s="1" t="s">
        <v>307</v>
      </c>
      <c r="I296" s="2" t="s">
        <v>10</v>
      </c>
      <c r="J296" s="2" t="b">
        <f t="shared" si="1"/>
        <v>0</v>
      </c>
    </row>
    <row r="297" spans="6:10" hidden="1">
      <c r="F297" s="1">
        <v>141</v>
      </c>
      <c r="G297" s="2" t="s">
        <v>150</v>
      </c>
      <c r="H297" s="1" t="s">
        <v>307</v>
      </c>
      <c r="I297" s="2" t="s">
        <v>10</v>
      </c>
      <c r="J297" s="2" t="b">
        <f t="shared" si="1"/>
        <v>0</v>
      </c>
    </row>
    <row r="298" spans="6:10" hidden="1">
      <c r="F298" s="1">
        <v>142</v>
      </c>
      <c r="G298" s="2" t="s">
        <v>151</v>
      </c>
      <c r="H298" s="1" t="s">
        <v>307</v>
      </c>
      <c r="I298" s="2" t="s">
        <v>306</v>
      </c>
      <c r="J298" s="2" t="b">
        <f t="shared" si="1"/>
        <v>0</v>
      </c>
    </row>
    <row r="299" spans="6:10" hidden="1">
      <c r="F299" s="1">
        <v>143</v>
      </c>
      <c r="G299" s="2" t="s">
        <v>152</v>
      </c>
      <c r="H299" s="1" t="s">
        <v>21</v>
      </c>
      <c r="J299" s="2" t="b">
        <f t="shared" si="1"/>
        <v>0</v>
      </c>
    </row>
    <row r="300" spans="6:10" hidden="1">
      <c r="F300" s="1">
        <v>144</v>
      </c>
      <c r="G300" s="2" t="s">
        <v>153</v>
      </c>
      <c r="H300" s="1" t="s">
        <v>308</v>
      </c>
      <c r="I300" s="2" t="s">
        <v>306</v>
      </c>
      <c r="J300" s="2" t="b">
        <f t="shared" si="1"/>
        <v>0</v>
      </c>
    </row>
    <row r="301" spans="6:10" hidden="1">
      <c r="F301" s="1">
        <v>145</v>
      </c>
      <c r="G301" s="2" t="s">
        <v>154</v>
      </c>
      <c r="H301" s="1" t="s">
        <v>31</v>
      </c>
      <c r="I301" s="2" t="s">
        <v>306</v>
      </c>
      <c r="J301" s="2" t="b">
        <f t="shared" si="1"/>
        <v>0</v>
      </c>
    </row>
    <row r="302" spans="6:10" hidden="1">
      <c r="F302" s="1">
        <v>146</v>
      </c>
      <c r="G302" s="2" t="s">
        <v>155</v>
      </c>
      <c r="H302" s="1" t="s">
        <v>6</v>
      </c>
      <c r="I302" s="2" t="s">
        <v>306</v>
      </c>
      <c r="J302" s="2" t="b">
        <f t="shared" si="1"/>
        <v>0</v>
      </c>
    </row>
    <row r="303" spans="6:10" hidden="1">
      <c r="F303" s="1">
        <v>147</v>
      </c>
      <c r="G303" s="2" t="s">
        <v>156</v>
      </c>
      <c r="H303" s="1" t="s">
        <v>157</v>
      </c>
      <c r="J303" s="2" t="b">
        <f t="shared" si="1"/>
        <v>0</v>
      </c>
    </row>
    <row r="304" spans="6:10" hidden="1">
      <c r="F304" s="1">
        <v>148</v>
      </c>
      <c r="G304" s="2" t="s">
        <v>158</v>
      </c>
      <c r="H304" s="1" t="s">
        <v>157</v>
      </c>
      <c r="J304" s="2" t="b">
        <f t="shared" si="1"/>
        <v>0</v>
      </c>
    </row>
    <row r="305" spans="6:10" hidden="1">
      <c r="F305" s="1">
        <v>149</v>
      </c>
      <c r="G305" s="2" t="s">
        <v>159</v>
      </c>
      <c r="H305" s="1" t="s">
        <v>157</v>
      </c>
      <c r="I305" s="2" t="s">
        <v>306</v>
      </c>
      <c r="J305" s="2" t="b">
        <f t="shared" si="1"/>
        <v>0</v>
      </c>
    </row>
    <row r="306" spans="6:10" hidden="1">
      <c r="F306" s="1">
        <v>150</v>
      </c>
      <c r="G306" s="2" t="s">
        <v>160</v>
      </c>
      <c r="H306" s="1" t="s">
        <v>72</v>
      </c>
      <c r="J306" s="2" t="b">
        <f t="shared" si="1"/>
        <v>0</v>
      </c>
    </row>
    <row r="307" spans="6:10" hidden="1">
      <c r="F307" s="1">
        <v>151</v>
      </c>
      <c r="G307" s="2" t="s">
        <v>161</v>
      </c>
      <c r="H307" s="1" t="s">
        <v>72</v>
      </c>
      <c r="J307" s="2" t="b">
        <f t="shared" si="1"/>
        <v>0</v>
      </c>
    </row>
  </sheetData>
  <autoFilter ref="F156:J307" xr:uid="{0EE36AA6-F058-1147-ABC0-79FAF2E1A6F2}">
    <filterColumn colId="4">
      <filters>
        <filter val="TRU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64FAA-2A5B-9240-A02E-FD92E3754DCD}">
  <dimension ref="A3:P27"/>
  <sheetViews>
    <sheetView workbookViewId="0">
      <selection activeCell="O25" sqref="O25"/>
    </sheetView>
  </sheetViews>
  <sheetFormatPr baseColWidth="10" defaultRowHeight="16"/>
  <cols>
    <col min="2" max="2" width="11.6640625" bestFit="1" customWidth="1"/>
    <col min="3" max="3" width="18" customWidth="1"/>
    <col min="5" max="5" width="5.6640625" customWidth="1"/>
    <col min="8" max="8" width="23.83203125" customWidth="1"/>
    <col min="9" max="9" width="13" customWidth="1"/>
    <col min="10" max="10" width="11.1640625" customWidth="1"/>
    <col min="11" max="11" width="15" customWidth="1"/>
    <col min="17" max="17" width="6.1640625" customWidth="1"/>
  </cols>
  <sheetData>
    <row r="3" spans="1:16" ht="45" customHeight="1">
      <c r="B3" s="27" t="s">
        <v>303</v>
      </c>
      <c r="C3" s="6"/>
      <c r="D3" s="6"/>
      <c r="E3" s="6"/>
      <c r="F3" s="6"/>
      <c r="G3" s="6"/>
      <c r="H3" s="6"/>
      <c r="I3" s="6"/>
      <c r="J3" s="6"/>
      <c r="K3" s="6"/>
      <c r="L3" s="6"/>
      <c r="M3" s="6"/>
    </row>
    <row r="4" spans="1:16" ht="21" customHeight="1">
      <c r="B4" s="5"/>
      <c r="C4" s="5"/>
      <c r="D4" s="5"/>
      <c r="E4" s="5"/>
      <c r="F4" s="5"/>
      <c r="G4" s="5"/>
      <c r="H4" s="5"/>
      <c r="I4" s="5"/>
      <c r="J4" s="5"/>
      <c r="K4" s="5"/>
      <c r="L4" s="5"/>
      <c r="M4" s="5"/>
    </row>
    <row r="5" spans="1:16" ht="37" customHeight="1">
      <c r="A5" s="7"/>
      <c r="B5" s="7"/>
      <c r="C5" s="7"/>
      <c r="D5" s="7"/>
      <c r="E5" s="7"/>
      <c r="F5" s="7"/>
      <c r="G5" s="7"/>
      <c r="H5" s="31" t="s">
        <v>234</v>
      </c>
      <c r="I5" s="31"/>
      <c r="J5" s="31"/>
      <c r="K5" s="31"/>
      <c r="L5" s="7"/>
      <c r="M5" s="7"/>
      <c r="N5" s="7"/>
      <c r="O5" s="7"/>
      <c r="P5" s="7"/>
    </row>
    <row r="6" spans="1:16" ht="19">
      <c r="A6" s="7"/>
      <c r="B6" s="28" t="s">
        <v>237</v>
      </c>
      <c r="C6" s="29"/>
      <c r="D6" s="30"/>
      <c r="E6" s="7"/>
      <c r="F6" s="7"/>
      <c r="G6" s="7"/>
      <c r="H6" s="28" t="s">
        <v>258</v>
      </c>
      <c r="I6" s="29"/>
      <c r="J6" s="29"/>
      <c r="K6" s="30"/>
      <c r="L6" s="7"/>
      <c r="M6" s="7" t="s">
        <v>271</v>
      </c>
      <c r="N6" s="7"/>
      <c r="O6" s="7"/>
    </row>
    <row r="7" spans="1:16" ht="19">
      <c r="A7" s="7"/>
      <c r="B7" s="8" t="s">
        <v>238</v>
      </c>
      <c r="C7" s="8" t="s">
        <v>240</v>
      </c>
      <c r="D7" s="8" t="s">
        <v>241</v>
      </c>
      <c r="E7" s="7"/>
      <c r="F7" s="7"/>
      <c r="G7" s="7"/>
      <c r="H7" s="9" t="s">
        <v>259</v>
      </c>
      <c r="I7" s="9" t="s">
        <v>260</v>
      </c>
      <c r="J7" s="9" t="s">
        <v>261</v>
      </c>
      <c r="K7" s="9" t="s">
        <v>262</v>
      </c>
      <c r="L7" s="7"/>
      <c r="M7" s="7"/>
      <c r="N7" s="7"/>
      <c r="O7" s="7"/>
      <c r="P7" s="7"/>
    </row>
    <row r="8" spans="1:16" ht="19">
      <c r="A8" s="7"/>
      <c r="B8" s="10">
        <v>15131.229278417033</v>
      </c>
      <c r="C8" s="8" t="s">
        <v>242</v>
      </c>
      <c r="D8" s="11">
        <v>128.05799999999999</v>
      </c>
      <c r="E8" s="7"/>
      <c r="F8" s="7"/>
      <c r="G8" s="7"/>
      <c r="H8" s="8" t="s">
        <v>263</v>
      </c>
      <c r="I8" s="8" t="s">
        <v>264</v>
      </c>
      <c r="J8" s="12">
        <v>72900</v>
      </c>
      <c r="K8" s="13">
        <f>SQRT(J8)</f>
        <v>270</v>
      </c>
      <c r="L8" s="7"/>
      <c r="M8" s="14" t="s">
        <v>270</v>
      </c>
      <c r="N8" s="7"/>
      <c r="O8" s="7"/>
      <c r="P8" s="7"/>
    </row>
    <row r="9" spans="1:16" ht="19">
      <c r="A9" s="7"/>
      <c r="B9" s="10">
        <v>21689.879773785746</v>
      </c>
      <c r="C9" s="8" t="s">
        <v>243</v>
      </c>
      <c r="D9" s="11">
        <v>58.407999999999994</v>
      </c>
      <c r="E9" s="7"/>
      <c r="F9" s="7"/>
      <c r="G9" s="7"/>
      <c r="H9" s="8" t="s">
        <v>266</v>
      </c>
      <c r="I9" s="8" t="s">
        <v>265</v>
      </c>
      <c r="J9" s="12">
        <v>13225</v>
      </c>
      <c r="K9" s="13">
        <f t="shared" ref="K9:K12" si="0">SQRT(J9)</f>
        <v>115</v>
      </c>
      <c r="L9" s="7"/>
      <c r="M9" s="7"/>
      <c r="N9" s="7"/>
      <c r="O9" s="7"/>
      <c r="P9" s="7"/>
    </row>
    <row r="10" spans="1:16" ht="19">
      <c r="A10" s="7"/>
      <c r="B10" s="10">
        <v>6556.4431594744028</v>
      </c>
      <c r="C10" s="8" t="s">
        <v>244</v>
      </c>
      <c r="D10" s="11">
        <v>79.97399999999999</v>
      </c>
      <c r="E10" s="7"/>
      <c r="F10" s="7"/>
      <c r="G10" s="7"/>
      <c r="H10" s="8" t="s">
        <v>267</v>
      </c>
      <c r="I10" s="8" t="s">
        <v>264</v>
      </c>
      <c r="J10" s="12">
        <v>15870</v>
      </c>
      <c r="K10" s="47">
        <f t="shared" si="0"/>
        <v>125.9761882261882</v>
      </c>
      <c r="L10" s="7"/>
      <c r="M10" s="7"/>
      <c r="N10" s="7"/>
      <c r="O10" s="7"/>
      <c r="P10" s="7"/>
    </row>
    <row r="11" spans="1:16" ht="19">
      <c r="A11" s="7"/>
      <c r="B11" s="10">
        <v>18937.566436409343</v>
      </c>
      <c r="C11" s="8" t="s">
        <v>245</v>
      </c>
      <c r="D11" s="11">
        <v>479.988</v>
      </c>
      <c r="E11" s="7"/>
      <c r="F11" s="7"/>
      <c r="G11" s="7"/>
      <c r="H11" s="8" t="s">
        <v>268</v>
      </c>
      <c r="I11" s="8" t="s">
        <v>269</v>
      </c>
      <c r="J11" s="12">
        <v>12321</v>
      </c>
      <c r="K11" s="13">
        <f t="shared" si="0"/>
        <v>111</v>
      </c>
      <c r="L11" s="7"/>
      <c r="M11" s="7"/>
      <c r="N11" s="7"/>
      <c r="O11" s="7"/>
      <c r="P11" s="7"/>
    </row>
    <row r="12" spans="1:16" ht="19">
      <c r="A12" s="7"/>
      <c r="B12" s="10">
        <v>18446.91754397425</v>
      </c>
      <c r="C12" s="8" t="s">
        <v>243</v>
      </c>
      <c r="D12" s="11">
        <v>11.808</v>
      </c>
      <c r="E12" s="7"/>
      <c r="F12" s="7"/>
      <c r="G12" s="7"/>
      <c r="H12" s="15" t="s">
        <v>272</v>
      </c>
      <c r="I12" s="15" t="s">
        <v>269</v>
      </c>
      <c r="J12" s="16">
        <v>25921</v>
      </c>
      <c r="K12" s="13">
        <f t="shared" si="0"/>
        <v>161</v>
      </c>
      <c r="L12" s="7"/>
      <c r="M12" s="7"/>
      <c r="N12" s="7"/>
      <c r="O12" s="7"/>
      <c r="P12" s="7"/>
    </row>
    <row r="13" spans="1:16" ht="19">
      <c r="A13" s="7"/>
      <c r="B13" s="10">
        <v>22337.723635387698</v>
      </c>
      <c r="C13" s="8" t="s">
        <v>243</v>
      </c>
      <c r="D13" s="11">
        <v>53.567999999999998</v>
      </c>
      <c r="E13" s="7"/>
      <c r="F13" s="7"/>
      <c r="G13" s="7"/>
      <c r="H13" s="17"/>
      <c r="I13" s="17"/>
      <c r="J13" s="17"/>
      <c r="K13" s="17"/>
      <c r="L13" s="7"/>
      <c r="M13" s="7"/>
      <c r="N13" s="7"/>
      <c r="O13" s="7"/>
      <c r="P13" s="7"/>
    </row>
    <row r="14" spans="1:16" ht="19">
      <c r="A14" s="7"/>
      <c r="B14" s="10">
        <v>1778.961055137132</v>
      </c>
      <c r="C14" s="8" t="s">
        <v>246</v>
      </c>
      <c r="D14" s="11">
        <v>503.96000000000004</v>
      </c>
      <c r="E14" s="7"/>
      <c r="F14" s="7"/>
      <c r="G14" s="7"/>
      <c r="O14" s="7"/>
      <c r="P14" s="7"/>
    </row>
    <row r="15" spans="1:16" ht="19">
      <c r="A15" s="7"/>
      <c r="B15" s="10">
        <v>13846.826141617345</v>
      </c>
      <c r="C15" s="8" t="s">
        <v>247</v>
      </c>
      <c r="D15" s="11">
        <v>21.34</v>
      </c>
      <c r="E15" s="7"/>
      <c r="F15" s="7"/>
      <c r="G15" s="7"/>
      <c r="O15" s="7"/>
      <c r="P15" s="7"/>
    </row>
    <row r="16" spans="1:16" ht="19">
      <c r="A16" s="7"/>
      <c r="B16" s="10">
        <v>7812.0517691857222</v>
      </c>
      <c r="C16" s="8" t="s">
        <v>243</v>
      </c>
      <c r="D16" s="11">
        <v>36.4</v>
      </c>
      <c r="E16" s="7"/>
      <c r="F16" s="7"/>
      <c r="G16" s="7"/>
      <c r="O16" s="7"/>
      <c r="P16" s="7"/>
    </row>
    <row r="17" spans="1:16" ht="19">
      <c r="A17" s="7"/>
      <c r="B17" s="10">
        <v>10006.670029861949</v>
      </c>
      <c r="C17" s="8" t="s">
        <v>248</v>
      </c>
      <c r="D17" s="11">
        <v>51.75</v>
      </c>
      <c r="E17" s="7"/>
      <c r="F17" s="7"/>
      <c r="G17" s="7"/>
      <c r="H17" s="8"/>
      <c r="I17" s="8" t="s">
        <v>273</v>
      </c>
      <c r="J17" s="8"/>
      <c r="K17" s="8"/>
      <c r="L17" s="8"/>
      <c r="M17" s="8"/>
      <c r="N17" s="8"/>
      <c r="O17" s="7"/>
      <c r="P17" s="7" t="s">
        <v>257</v>
      </c>
    </row>
    <row r="18" spans="1:16" ht="19">
      <c r="A18" s="7"/>
      <c r="B18" s="10">
        <v>21558.334885316995</v>
      </c>
      <c r="C18" s="8" t="s">
        <v>249</v>
      </c>
      <c r="D18" s="11">
        <v>15.51</v>
      </c>
      <c r="E18" s="7"/>
      <c r="F18" s="7"/>
      <c r="G18" s="7"/>
      <c r="H18" s="8" t="s">
        <v>274</v>
      </c>
      <c r="I18" s="8">
        <v>1</v>
      </c>
      <c r="J18" s="8">
        <v>2</v>
      </c>
      <c r="K18" s="8">
        <v>3</v>
      </c>
      <c r="L18" s="8">
        <v>4</v>
      </c>
      <c r="M18" s="8">
        <v>5</v>
      </c>
      <c r="N18" s="8">
        <v>6</v>
      </c>
      <c r="O18" s="7"/>
      <c r="P18" s="7"/>
    </row>
    <row r="19" spans="1:16" ht="19">
      <c r="A19" s="7"/>
      <c r="B19" s="10">
        <v>16033.292493818983</v>
      </c>
      <c r="C19" s="8" t="s">
        <v>250</v>
      </c>
      <c r="D19" s="11">
        <v>146.82</v>
      </c>
      <c r="E19" s="7"/>
      <c r="F19" s="7" t="s">
        <v>257</v>
      </c>
      <c r="G19" s="7"/>
      <c r="H19" s="8">
        <v>20</v>
      </c>
      <c r="I19" s="20">
        <f>I$18*$H19</f>
        <v>20</v>
      </c>
      <c r="J19" s="20">
        <f t="shared" ref="J19:N25" si="1">J$18*$H19</f>
        <v>40</v>
      </c>
      <c r="K19" s="20">
        <f t="shared" si="1"/>
        <v>60</v>
      </c>
      <c r="L19" s="20">
        <f t="shared" si="1"/>
        <v>80</v>
      </c>
      <c r="M19" s="20">
        <f t="shared" si="1"/>
        <v>100</v>
      </c>
      <c r="N19" s="20">
        <f t="shared" si="1"/>
        <v>120</v>
      </c>
      <c r="O19" s="7"/>
      <c r="P19" s="14" t="s">
        <v>277</v>
      </c>
    </row>
    <row r="20" spans="1:16" ht="19">
      <c r="A20" s="7"/>
      <c r="B20" s="10">
        <v>7513.8415119297551</v>
      </c>
      <c r="C20" s="8" t="s">
        <v>250</v>
      </c>
      <c r="D20" s="11">
        <v>12.96</v>
      </c>
      <c r="E20" s="7"/>
      <c r="F20" s="7"/>
      <c r="G20" s="7"/>
      <c r="H20" s="8">
        <v>40</v>
      </c>
      <c r="I20" s="20">
        <f t="shared" ref="I20:I25" si="2">I$18*$H20</f>
        <v>40</v>
      </c>
      <c r="J20" s="20">
        <f t="shared" si="1"/>
        <v>80</v>
      </c>
      <c r="K20" s="20">
        <f t="shared" si="1"/>
        <v>120</v>
      </c>
      <c r="L20" s="20">
        <f t="shared" si="1"/>
        <v>160</v>
      </c>
      <c r="M20" s="20">
        <f t="shared" si="1"/>
        <v>200</v>
      </c>
      <c r="N20" s="20">
        <f t="shared" si="1"/>
        <v>240</v>
      </c>
      <c r="O20" s="7"/>
      <c r="P20" s="14" t="s">
        <v>278</v>
      </c>
    </row>
    <row r="21" spans="1:16" ht="19">
      <c r="A21" s="7"/>
      <c r="B21" s="7"/>
      <c r="C21" s="18" t="s">
        <v>251</v>
      </c>
      <c r="D21" s="21">
        <f>SUM(D8:D20)</f>
        <v>1600.5439999999999</v>
      </c>
      <c r="E21" s="7"/>
      <c r="F21" s="14" t="s">
        <v>254</v>
      </c>
      <c r="G21" s="7"/>
      <c r="H21" s="8">
        <v>60</v>
      </c>
      <c r="I21" s="20">
        <f t="shared" si="2"/>
        <v>60</v>
      </c>
      <c r="J21" s="20">
        <f t="shared" si="1"/>
        <v>120</v>
      </c>
      <c r="K21" s="20">
        <f t="shared" si="1"/>
        <v>180</v>
      </c>
      <c r="L21" s="20">
        <f t="shared" si="1"/>
        <v>240</v>
      </c>
      <c r="M21" s="20">
        <f t="shared" si="1"/>
        <v>300</v>
      </c>
      <c r="N21" s="20">
        <f t="shared" si="1"/>
        <v>360</v>
      </c>
      <c r="O21" s="7"/>
      <c r="P21" s="14" t="s">
        <v>275</v>
      </c>
    </row>
    <row r="22" spans="1:16" ht="19">
      <c r="A22" s="7"/>
      <c r="B22" s="7"/>
      <c r="C22" s="7"/>
      <c r="D22" s="7"/>
      <c r="E22" s="7"/>
      <c r="F22" s="19"/>
      <c r="G22" s="7"/>
      <c r="H22" s="8">
        <v>80</v>
      </c>
      <c r="I22" s="20">
        <f t="shared" si="2"/>
        <v>80</v>
      </c>
      <c r="J22" s="20">
        <f t="shared" si="1"/>
        <v>160</v>
      </c>
      <c r="K22" s="20">
        <f t="shared" si="1"/>
        <v>240</v>
      </c>
      <c r="L22" s="20">
        <f t="shared" si="1"/>
        <v>320</v>
      </c>
      <c r="M22" s="20">
        <f t="shared" si="1"/>
        <v>400</v>
      </c>
      <c r="N22" s="20">
        <f t="shared" si="1"/>
        <v>480</v>
      </c>
      <c r="O22" s="7"/>
      <c r="P22" s="14" t="s">
        <v>276</v>
      </c>
    </row>
    <row r="23" spans="1:16" ht="19">
      <c r="A23" s="7"/>
      <c r="B23" s="7"/>
      <c r="C23" s="18" t="s">
        <v>252</v>
      </c>
      <c r="D23" s="13">
        <f>COUNT(D8:D20)</f>
        <v>13</v>
      </c>
      <c r="E23" s="7"/>
      <c r="F23" s="14" t="s">
        <v>255</v>
      </c>
      <c r="G23" s="7"/>
      <c r="H23" s="8">
        <v>100</v>
      </c>
      <c r="I23" s="20">
        <f t="shared" si="2"/>
        <v>100</v>
      </c>
      <c r="J23" s="20">
        <f t="shared" si="1"/>
        <v>200</v>
      </c>
      <c r="K23" s="20">
        <f t="shared" si="1"/>
        <v>300</v>
      </c>
      <c r="L23" s="20">
        <f t="shared" si="1"/>
        <v>400</v>
      </c>
      <c r="M23" s="20">
        <f t="shared" si="1"/>
        <v>500</v>
      </c>
      <c r="N23" s="20">
        <f t="shared" si="1"/>
        <v>600</v>
      </c>
      <c r="O23" s="7"/>
      <c r="P23" s="7"/>
    </row>
    <row r="24" spans="1:16" ht="19">
      <c r="A24" s="7"/>
      <c r="B24" s="7"/>
      <c r="C24" s="7"/>
      <c r="D24" s="7"/>
      <c r="E24" s="7"/>
      <c r="F24" s="19"/>
      <c r="G24" s="7"/>
      <c r="H24" s="8">
        <v>250</v>
      </c>
      <c r="I24" s="20">
        <f t="shared" si="2"/>
        <v>250</v>
      </c>
      <c r="J24" s="20">
        <f t="shared" si="1"/>
        <v>500</v>
      </c>
      <c r="K24" s="20">
        <f t="shared" si="1"/>
        <v>750</v>
      </c>
      <c r="L24" s="20">
        <f t="shared" si="1"/>
        <v>1000</v>
      </c>
      <c r="M24" s="20">
        <f t="shared" si="1"/>
        <v>1250</v>
      </c>
      <c r="N24" s="20">
        <f t="shared" si="1"/>
        <v>1500</v>
      </c>
      <c r="O24" s="7"/>
      <c r="P24" s="7"/>
    </row>
    <row r="25" spans="1:16" ht="19">
      <c r="A25" s="7"/>
      <c r="B25" s="7"/>
      <c r="C25" s="18" t="s">
        <v>253</v>
      </c>
      <c r="D25" s="21">
        <f>MAX(D8:D20)</f>
        <v>503.96000000000004</v>
      </c>
      <c r="E25" s="7"/>
      <c r="F25" s="14" t="s">
        <v>256</v>
      </c>
      <c r="G25" s="7"/>
      <c r="H25" s="8">
        <v>500</v>
      </c>
      <c r="I25" s="20">
        <f t="shared" si="2"/>
        <v>500</v>
      </c>
      <c r="J25" s="20">
        <f t="shared" si="1"/>
        <v>1000</v>
      </c>
      <c r="K25" s="20">
        <f t="shared" si="1"/>
        <v>1500</v>
      </c>
      <c r="L25" s="20">
        <f t="shared" si="1"/>
        <v>2000</v>
      </c>
      <c r="M25" s="20">
        <f t="shared" si="1"/>
        <v>2500</v>
      </c>
      <c r="N25" s="20">
        <f t="shared" si="1"/>
        <v>3000</v>
      </c>
      <c r="O25" s="7"/>
      <c r="P25" s="7"/>
    </row>
    <row r="26" spans="1:16" ht="19">
      <c r="A26" s="7"/>
      <c r="B26" s="7"/>
      <c r="C26" s="7"/>
      <c r="D26" s="7"/>
      <c r="E26" s="7"/>
      <c r="F26" s="7"/>
      <c r="G26" s="7"/>
      <c r="H26" s="7"/>
      <c r="I26" s="7"/>
      <c r="J26" s="7"/>
      <c r="K26" s="7"/>
      <c r="L26" s="7"/>
      <c r="M26" s="7"/>
      <c r="N26" s="7"/>
      <c r="O26" s="7"/>
      <c r="P26" s="7"/>
    </row>
    <row r="27" spans="1:16" ht="19">
      <c r="A27" s="7"/>
      <c r="B27" s="7"/>
      <c r="C27" s="7"/>
      <c r="D27" s="7"/>
      <c r="E27" s="7"/>
      <c r="F27" s="7"/>
      <c r="G27" s="7"/>
      <c r="H27" s="7"/>
      <c r="I27" s="7"/>
      <c r="J27" s="7"/>
      <c r="K27" s="7"/>
      <c r="L27" s="7"/>
      <c r="M27" s="7"/>
      <c r="N27" s="7"/>
      <c r="O27" s="7"/>
      <c r="P27" s="7"/>
    </row>
  </sheetData>
  <mergeCells count="3">
    <mergeCell ref="H6:K6"/>
    <mergeCell ref="B6:D6"/>
    <mergeCell ref="H5:K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8DB5-4744-6946-9D78-7DBDCD361712}">
  <dimension ref="B3:Q27"/>
  <sheetViews>
    <sheetView workbookViewId="0">
      <selection activeCell="K22" sqref="K22"/>
    </sheetView>
  </sheetViews>
  <sheetFormatPr baseColWidth="10" defaultRowHeight="16"/>
  <cols>
    <col min="7" max="7" width="4" customWidth="1"/>
    <col min="11" max="11" width="7.83203125" customWidth="1"/>
    <col min="12" max="12" width="14.83203125" bestFit="1" customWidth="1"/>
    <col min="15" max="15" width="11.83203125" bestFit="1" customWidth="1"/>
  </cols>
  <sheetData>
    <row r="3" spans="2:17" ht="45" customHeight="1">
      <c r="B3" s="27" t="s">
        <v>303</v>
      </c>
      <c r="C3" s="6"/>
      <c r="D3" s="6"/>
      <c r="E3" s="6"/>
      <c r="F3" s="6"/>
      <c r="G3" s="6"/>
      <c r="H3" s="6"/>
      <c r="I3" s="6"/>
      <c r="J3" s="6"/>
      <c r="K3" s="6"/>
      <c r="L3" s="6"/>
      <c r="M3" s="6"/>
    </row>
    <row r="4" spans="2:17" ht="19">
      <c r="L4" s="7"/>
      <c r="M4" s="7"/>
      <c r="N4" s="7"/>
      <c r="O4" s="7"/>
      <c r="P4" s="7"/>
      <c r="Q4" s="7"/>
    </row>
    <row r="5" spans="2:17" ht="19">
      <c r="L5" s="7"/>
      <c r="M5" s="7"/>
      <c r="N5" s="7"/>
      <c r="O5" s="7"/>
      <c r="P5" s="7"/>
      <c r="Q5" s="7"/>
    </row>
    <row r="6" spans="2:17" ht="19">
      <c r="B6" s="28" t="s">
        <v>237</v>
      </c>
      <c r="C6" s="29"/>
      <c r="D6" s="30"/>
      <c r="H6" s="32" t="s">
        <v>283</v>
      </c>
      <c r="I6" s="32"/>
      <c r="J6" s="32"/>
      <c r="L6" s="9" t="s">
        <v>239</v>
      </c>
      <c r="M6" s="9" t="s">
        <v>286</v>
      </c>
      <c r="N6" s="9" t="s">
        <v>299</v>
      </c>
      <c r="O6" s="7"/>
      <c r="P6" s="7"/>
      <c r="Q6" s="7"/>
    </row>
    <row r="7" spans="2:17" ht="19">
      <c r="B7" s="8" t="s">
        <v>238</v>
      </c>
      <c r="C7" s="8" t="s">
        <v>240</v>
      </c>
      <c r="D7" s="8" t="s">
        <v>241</v>
      </c>
      <c r="H7" s="8" t="s">
        <v>238</v>
      </c>
      <c r="I7" s="8" t="s">
        <v>240</v>
      </c>
      <c r="J7" s="8" t="s">
        <v>241</v>
      </c>
      <c r="L7" s="8" t="s">
        <v>287</v>
      </c>
      <c r="M7" s="11">
        <v>44</v>
      </c>
      <c r="N7" s="8">
        <v>1</v>
      </c>
      <c r="O7" s="7"/>
      <c r="P7" s="7"/>
      <c r="Q7" s="7"/>
    </row>
    <row r="8" spans="2:17" ht="19">
      <c r="B8" s="10">
        <v>15131.229278417033</v>
      </c>
      <c r="C8" s="8" t="s">
        <v>242</v>
      </c>
      <c r="D8" s="11">
        <v>128.05799999999999</v>
      </c>
      <c r="H8" s="10">
        <v>22337.723635387698</v>
      </c>
      <c r="I8" s="13" t="str">
        <f>VLOOKUP($H8, $B$8:$D$20, 2, FALSE)</f>
        <v>Binders</v>
      </c>
      <c r="J8" s="21">
        <f>VLOOKUP($H8, $B$8:$D$20, 3, FALSE)</f>
        <v>53.567999999999998</v>
      </c>
      <c r="L8" s="8" t="s">
        <v>288</v>
      </c>
      <c r="M8" s="11">
        <v>53</v>
      </c>
      <c r="N8" s="8">
        <v>2</v>
      </c>
      <c r="O8" s="7"/>
      <c r="P8" s="7"/>
      <c r="Q8" s="7"/>
    </row>
    <row r="9" spans="2:17" ht="19">
      <c r="B9" s="10">
        <v>21689.879773785746</v>
      </c>
      <c r="C9" s="8" t="s">
        <v>243</v>
      </c>
      <c r="D9" s="11">
        <v>58.407999999999994</v>
      </c>
      <c r="H9" s="10">
        <v>10006.670029861949</v>
      </c>
      <c r="I9" s="13" t="str">
        <f t="shared" ref="I9:J14" si="0">VLOOKUP(H9, B9:D21, 2, FALSE)</f>
        <v>Furnishings</v>
      </c>
      <c r="J9" s="21">
        <f t="shared" ref="J9:J14" si="1">VLOOKUP($H9, $B$8:$D$20, 3, FALSE)</f>
        <v>51.75</v>
      </c>
      <c r="L9" s="8" t="s">
        <v>289</v>
      </c>
      <c r="M9" s="11">
        <v>17</v>
      </c>
      <c r="N9" s="8">
        <v>3</v>
      </c>
      <c r="O9" s="7"/>
      <c r="P9" s="7"/>
      <c r="Q9" s="7"/>
    </row>
    <row r="10" spans="2:17" ht="19">
      <c r="B10" s="10">
        <v>6556.4431594744028</v>
      </c>
      <c r="C10" s="8" t="s">
        <v>244</v>
      </c>
      <c r="D10" s="11">
        <v>79.97399999999999</v>
      </c>
      <c r="H10" s="10">
        <v>18937.566436409343</v>
      </c>
      <c r="I10" s="13" t="str">
        <f t="shared" si="0"/>
        <v>Machines</v>
      </c>
      <c r="J10" s="21">
        <f t="shared" si="1"/>
        <v>479.988</v>
      </c>
      <c r="L10" s="8" t="s">
        <v>290</v>
      </c>
      <c r="M10" s="11">
        <v>25</v>
      </c>
      <c r="N10" s="8">
        <v>4</v>
      </c>
      <c r="O10" s="7"/>
      <c r="P10" s="7"/>
      <c r="Q10" s="7"/>
    </row>
    <row r="11" spans="2:17" ht="19">
      <c r="B11" s="10">
        <v>18937.566436409343</v>
      </c>
      <c r="C11" s="8" t="s">
        <v>245</v>
      </c>
      <c r="D11" s="11">
        <v>479.988</v>
      </c>
      <c r="H11" s="10">
        <v>16033.292493818983</v>
      </c>
      <c r="I11" s="13" t="str">
        <f t="shared" si="0"/>
        <v>Paper</v>
      </c>
      <c r="J11" s="21">
        <f t="shared" si="1"/>
        <v>146.82</v>
      </c>
      <c r="L11" s="8" t="s">
        <v>291</v>
      </c>
      <c r="M11" s="11">
        <v>56</v>
      </c>
      <c r="N11" s="8">
        <v>5</v>
      </c>
      <c r="O11" s="7"/>
      <c r="P11" s="7"/>
      <c r="Q11" s="7"/>
    </row>
    <row r="12" spans="2:17" ht="19">
      <c r="B12" s="10">
        <v>18446.91754397425</v>
      </c>
      <c r="C12" s="8" t="s">
        <v>243</v>
      </c>
      <c r="D12" s="11">
        <v>11.808</v>
      </c>
      <c r="H12" s="10">
        <v>1778.961055137132</v>
      </c>
      <c r="I12" s="13" t="str">
        <f t="shared" si="0"/>
        <v>Phones</v>
      </c>
      <c r="J12" s="21">
        <f t="shared" si="1"/>
        <v>503.96000000000004</v>
      </c>
      <c r="L12" s="8" t="s">
        <v>292</v>
      </c>
      <c r="M12" s="11">
        <v>25</v>
      </c>
      <c r="N12" s="8">
        <v>6</v>
      </c>
      <c r="O12" s="7"/>
      <c r="P12" s="7"/>
      <c r="Q12" s="7"/>
    </row>
    <row r="13" spans="2:17" ht="19">
      <c r="B13" s="10">
        <v>22337.723635387698</v>
      </c>
      <c r="C13" s="8" t="s">
        <v>243</v>
      </c>
      <c r="D13" s="11">
        <v>53.567999999999998</v>
      </c>
      <c r="H13" s="10">
        <v>7812.0517691857222</v>
      </c>
      <c r="I13" s="13" t="str">
        <f t="shared" si="0"/>
        <v>Binders</v>
      </c>
      <c r="J13" s="21">
        <f t="shared" si="1"/>
        <v>36.4</v>
      </c>
      <c r="L13" s="8" t="s">
        <v>293</v>
      </c>
      <c r="M13" s="11">
        <v>150</v>
      </c>
      <c r="N13" s="8">
        <v>7</v>
      </c>
      <c r="O13" s="7"/>
      <c r="P13" s="7"/>
      <c r="Q13" s="7"/>
    </row>
    <row r="14" spans="2:17" ht="19">
      <c r="B14" s="10">
        <v>1778.961055137132</v>
      </c>
      <c r="C14" s="8" t="s">
        <v>246</v>
      </c>
      <c r="D14" s="11">
        <v>503.96000000000004</v>
      </c>
      <c r="H14" s="10">
        <v>21558.334885316995</v>
      </c>
      <c r="I14" s="13" t="str">
        <f t="shared" si="0"/>
        <v>Storage</v>
      </c>
      <c r="J14" s="21">
        <f t="shared" si="1"/>
        <v>15.51</v>
      </c>
      <c r="L14" s="8" t="s">
        <v>294</v>
      </c>
      <c r="M14" s="11">
        <v>100</v>
      </c>
      <c r="N14" s="8">
        <v>8</v>
      </c>
      <c r="O14" s="7"/>
      <c r="P14" s="7"/>
      <c r="Q14" s="7"/>
    </row>
    <row r="15" spans="2:17" ht="19">
      <c r="B15" s="10">
        <v>13846.826141617345</v>
      </c>
      <c r="C15" s="8" t="s">
        <v>247</v>
      </c>
      <c r="D15" s="11">
        <v>21.34</v>
      </c>
      <c r="L15" s="8" t="s">
        <v>295</v>
      </c>
      <c r="M15" s="11">
        <v>225</v>
      </c>
      <c r="N15" s="8">
        <v>9</v>
      </c>
      <c r="O15" s="7"/>
      <c r="P15" s="7"/>
      <c r="Q15" s="7"/>
    </row>
    <row r="16" spans="2:17" ht="19">
      <c r="B16" s="10">
        <v>7812.0517691857222</v>
      </c>
      <c r="C16" s="8" t="s">
        <v>243</v>
      </c>
      <c r="D16" s="11">
        <v>36.4</v>
      </c>
      <c r="H16" t="s">
        <v>257</v>
      </c>
      <c r="L16" s="8" t="s">
        <v>296</v>
      </c>
      <c r="M16" s="11">
        <v>225</v>
      </c>
      <c r="N16" s="8">
        <v>10</v>
      </c>
      <c r="O16" s="7"/>
      <c r="P16" s="7"/>
      <c r="Q16" s="7"/>
    </row>
    <row r="17" spans="2:17" ht="19">
      <c r="B17" s="10">
        <v>10006.670029861949</v>
      </c>
      <c r="C17" s="8" t="s">
        <v>248</v>
      </c>
      <c r="D17" s="11">
        <v>51.75</v>
      </c>
      <c r="H17" s="14" t="s">
        <v>284</v>
      </c>
      <c r="L17" s="8" t="s">
        <v>297</v>
      </c>
      <c r="M17" s="11">
        <v>189.55</v>
      </c>
      <c r="N17" s="8">
        <v>11</v>
      </c>
      <c r="O17" s="7"/>
      <c r="P17" s="7"/>
      <c r="Q17" s="7"/>
    </row>
    <row r="18" spans="2:17" ht="19">
      <c r="B18" s="10">
        <v>21558.334885316995</v>
      </c>
      <c r="C18" s="8" t="s">
        <v>249</v>
      </c>
      <c r="D18" s="11">
        <v>15.51</v>
      </c>
      <c r="H18" s="14" t="s">
        <v>285</v>
      </c>
      <c r="L18" s="8" t="s">
        <v>298</v>
      </c>
      <c r="M18" s="11">
        <v>189.55</v>
      </c>
      <c r="N18" s="8">
        <v>12</v>
      </c>
      <c r="O18" s="7"/>
      <c r="P18" s="7"/>
      <c r="Q18" s="7"/>
    </row>
    <row r="19" spans="2:17" ht="19">
      <c r="B19" s="10">
        <v>16033.292493818983</v>
      </c>
      <c r="C19" s="8" t="s">
        <v>250</v>
      </c>
      <c r="D19" s="11">
        <v>146.82</v>
      </c>
      <c r="L19" s="7"/>
      <c r="M19" s="7"/>
      <c r="N19" s="7"/>
      <c r="O19" s="7"/>
      <c r="P19" s="7"/>
      <c r="Q19" s="7"/>
    </row>
    <row r="20" spans="2:17" ht="19">
      <c r="B20" s="10">
        <v>7513.8415119297551</v>
      </c>
      <c r="C20" s="8" t="s">
        <v>250</v>
      </c>
      <c r="D20" s="11">
        <v>12.96</v>
      </c>
      <c r="F20" t="s">
        <v>257</v>
      </c>
      <c r="L20" s="7"/>
      <c r="M20" s="7"/>
      <c r="N20" s="18" t="s">
        <v>300</v>
      </c>
      <c r="O20" s="21">
        <f>SUMPRODUCT(M7:M18,N7:N18)</f>
        <v>11215.65</v>
      </c>
      <c r="P20" s="7"/>
      <c r="Q20" s="7"/>
    </row>
    <row r="21" spans="2:17" ht="19">
      <c r="L21" s="7"/>
      <c r="M21" s="7"/>
      <c r="N21" s="7"/>
      <c r="O21" s="7"/>
      <c r="P21" s="7"/>
      <c r="Q21" s="7"/>
    </row>
    <row r="22" spans="2:17" ht="19">
      <c r="C22" s="18" t="s">
        <v>280</v>
      </c>
      <c r="D22" s="13">
        <f>COUNTIF(C8:C20, "Binders")</f>
        <v>4</v>
      </c>
      <c r="E22" s="7"/>
      <c r="F22" s="14" t="s">
        <v>281</v>
      </c>
      <c r="L22" s="7"/>
      <c r="M22" s="7"/>
      <c r="N22" s="7"/>
      <c r="O22" s="7"/>
      <c r="P22" s="7" t="s">
        <v>257</v>
      </c>
      <c r="Q22" s="7"/>
    </row>
    <row r="23" spans="2:17" ht="19">
      <c r="D23" s="7"/>
      <c r="E23" s="7"/>
      <c r="F23" s="19"/>
      <c r="L23" s="7"/>
      <c r="M23" s="7"/>
      <c r="N23" s="7"/>
      <c r="O23" s="7"/>
      <c r="P23" s="14" t="s">
        <v>301</v>
      </c>
      <c r="Q23" s="7"/>
    </row>
    <row r="24" spans="2:17" ht="19">
      <c r="C24" s="18" t="s">
        <v>279</v>
      </c>
      <c r="D24" s="21">
        <f>SUMIF(C8:C20, "Binders",D8:D20)</f>
        <v>160.184</v>
      </c>
      <c r="E24" s="7"/>
      <c r="F24" s="14" t="s">
        <v>282</v>
      </c>
      <c r="L24" s="7"/>
      <c r="M24" s="7"/>
      <c r="N24" s="7"/>
      <c r="O24" s="7"/>
      <c r="P24" s="14" t="s">
        <v>302</v>
      </c>
      <c r="Q24" s="7"/>
    </row>
    <row r="25" spans="2:17" ht="19">
      <c r="L25" s="7"/>
      <c r="M25" s="7"/>
      <c r="N25" s="7"/>
      <c r="O25" s="7"/>
      <c r="P25" s="7"/>
      <c r="Q25" s="7"/>
    </row>
    <row r="26" spans="2:17" ht="19">
      <c r="L26" s="7"/>
      <c r="M26" s="7"/>
      <c r="N26" s="7"/>
      <c r="O26" s="7"/>
      <c r="P26" s="7"/>
      <c r="Q26" s="7"/>
    </row>
    <row r="27" spans="2:17" ht="19">
      <c r="L27" s="7"/>
      <c r="M27" s="7"/>
      <c r="N27" s="7"/>
      <c r="O27" s="7"/>
      <c r="P27" s="7"/>
      <c r="Q27" s="7"/>
    </row>
  </sheetData>
  <mergeCells count="2">
    <mergeCell ref="B6:D6"/>
    <mergeCell ref="H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Task 1</vt:lpstr>
      <vt:lpstr>Table 1</vt:lpstr>
      <vt:lpstr>Table 2</vt:lpstr>
      <vt:lpstr>Task 2</vt:lpstr>
      <vt:lpstr>Task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Steckles</dc:creator>
  <cp:lastModifiedBy>Katie Steckles</cp:lastModifiedBy>
  <dcterms:created xsi:type="dcterms:W3CDTF">2026-01-20T10:06:43Z</dcterms:created>
  <dcterms:modified xsi:type="dcterms:W3CDTF">2026-01-31T19:09:16Z</dcterms:modified>
</cp:coreProperties>
</file>