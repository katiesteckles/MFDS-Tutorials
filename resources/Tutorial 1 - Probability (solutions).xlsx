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202300"/>
  <mc:AlternateContent xmlns:mc="http://schemas.openxmlformats.org/markup-compatibility/2006">
    <mc:Choice Requires="x15">
      <x15ac:absPath xmlns:x15ac="http://schemas.microsoft.com/office/spreadsheetml/2010/11/ac" url="/Users/katiesteckles/Documents/GitHub/MFDS-Tutorials/resources/"/>
    </mc:Choice>
  </mc:AlternateContent>
  <xr:revisionPtr revIDLastSave="0" documentId="13_ncr:1_{519F8B25-1E56-8640-A96F-1AF3A29FC437}" xr6:coauthVersionLast="47" xr6:coauthVersionMax="47" xr10:uidLastSave="{00000000-0000-0000-0000-000000000000}"/>
  <bookViews>
    <workbookView xWindow="1100" yWindow="740" windowWidth="28040" windowHeight="16980" activeTab="4" xr2:uid="{CDBAFE4F-F28F-2F42-AF48-A4A2FC61B4F7}"/>
  </bookViews>
  <sheets>
    <sheet name="Exercise 1.1" sheetId="1" r:id="rId1"/>
    <sheet name="Exercise 1.2" sheetId="2" r:id="rId2"/>
    <sheet name="Exercise 1.3" sheetId="3" r:id="rId3"/>
    <sheet name="Exercise 1.4" sheetId="4" r:id="rId4"/>
    <sheet name="Exercise 1.5" sheetId="5" r:id="rId5"/>
  </sheets>
  <definedNames>
    <definedName name="_xlnm._FilterDatabase" localSheetId="1" hidden="1">'Exercise 1.2'!$A$2:$D$101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5" l="1"/>
  <c r="H4" i="5" s="1"/>
  <c r="G5" i="5"/>
  <c r="H5" i="5"/>
  <c r="G6" i="5"/>
  <c r="H6" i="5" s="1"/>
  <c r="G7" i="5"/>
  <c r="H7" i="5"/>
  <c r="G8" i="5"/>
  <c r="H8" i="5"/>
  <c r="G9" i="5"/>
  <c r="H9" i="5"/>
  <c r="G10" i="5"/>
  <c r="H10" i="5" s="1"/>
  <c r="G11" i="5"/>
  <c r="H11" i="5" s="1"/>
  <c r="G12" i="5"/>
  <c r="H12" i="5"/>
  <c r="G13" i="5"/>
  <c r="H13" i="5"/>
  <c r="G14" i="5"/>
  <c r="H14" i="5"/>
  <c r="G3" i="5"/>
  <c r="H3" i="5" s="1"/>
  <c r="I8" i="4"/>
  <c r="I7" i="4"/>
  <c r="I6" i="4"/>
  <c r="J22" i="3"/>
  <c r="J23" i="3"/>
  <c r="J21" i="3"/>
  <c r="J16" i="3"/>
  <c r="J17" i="3"/>
  <c r="J15" i="3"/>
  <c r="I23" i="3"/>
  <c r="I21" i="3"/>
  <c r="I22" i="3"/>
  <c r="I17" i="3"/>
  <c r="H8" i="3"/>
  <c r="I16" i="3"/>
  <c r="H11" i="3"/>
  <c r="I15" i="3"/>
  <c r="H5" i="3"/>
  <c r="F44" i="2"/>
  <c r="G38" i="2"/>
  <c r="G30" i="2"/>
  <c r="G41" i="2"/>
  <c r="G40" i="2"/>
  <c r="G39" i="2"/>
  <c r="G33" i="2"/>
  <c r="G32" i="2"/>
  <c r="G31" i="2"/>
  <c r="H31" i="2" s="1"/>
  <c r="F5" i="2"/>
  <c r="G23" i="2"/>
  <c r="G22" i="2"/>
  <c r="G21" i="2"/>
  <c r="G20" i="2"/>
  <c r="F13" i="2"/>
  <c r="G18" i="4" l="1"/>
  <c r="G10" i="4"/>
  <c r="G34" i="2"/>
  <c r="H30" i="2"/>
  <c r="H33" i="2"/>
  <c r="H32" i="2"/>
  <c r="H40" i="2"/>
  <c r="F7" i="2"/>
  <c r="H39" i="2"/>
  <c r="H41" i="2"/>
  <c r="G42" i="2"/>
  <c r="H38" i="2"/>
  <c r="H42" i="2" s="1"/>
  <c r="F15" i="2"/>
  <c r="G24" i="2"/>
  <c r="H34" i="2" l="1"/>
</calcChain>
</file>

<file path=xl/sharedStrings.xml><?xml version="1.0" encoding="utf-8"?>
<sst xmlns="http://schemas.openxmlformats.org/spreadsheetml/2006/main" count="318" uniqueCount="296">
  <si>
    <t>The solution to this exercise will depend on the values you chose, and was mainly a chance to get you to use the =COUNTIF() function and see how it works.</t>
  </si>
  <si>
    <t>Contains Transport for Greater Manchester data and OS data (Crown copyright and database right 2017)</t>
  </si>
  <si>
    <t>Code</t>
  </si>
  <si>
    <t>Stop Name</t>
  </si>
  <si>
    <t>Zones</t>
  </si>
  <si>
    <t>Date</t>
  </si>
  <si>
    <t>HPK</t>
  </si>
  <si>
    <t>Heaton Park Metrolink stop</t>
  </si>
  <si>
    <t>BKV</t>
  </si>
  <si>
    <t>Bowker Vale Metrolink stop</t>
  </si>
  <si>
    <t>2, 3</t>
  </si>
  <si>
    <t>CRP</t>
  </si>
  <si>
    <t>Crumpsall Metrolink stop</t>
  </si>
  <si>
    <t>BRY</t>
  </si>
  <si>
    <t>Bury Metrolink stop</t>
  </si>
  <si>
    <t>RAD</t>
  </si>
  <si>
    <t>Radcliffe Metrolink stop</t>
  </si>
  <si>
    <t>WFD</t>
  </si>
  <si>
    <t>Whitefield Metrolink stop</t>
  </si>
  <si>
    <t>3, 4</t>
  </si>
  <si>
    <t>BOB</t>
  </si>
  <si>
    <t>Besses o' th' Barn Metrolink stop</t>
  </si>
  <si>
    <t>PRS</t>
  </si>
  <si>
    <t>Prestwich Metrolink stop</t>
  </si>
  <si>
    <t>VIC</t>
  </si>
  <si>
    <t>Victoria Metrolink stop</t>
  </si>
  <si>
    <t>MKT</t>
  </si>
  <si>
    <t>Market Street Metrolink stop</t>
  </si>
  <si>
    <t>PCG</t>
  </si>
  <si>
    <t>Piccadilly Gardens Metrolink stop</t>
  </si>
  <si>
    <t>PIC</t>
  </si>
  <si>
    <t>Piccadilly Metrolink stop</t>
  </si>
  <si>
    <t>DCF</t>
  </si>
  <si>
    <t>Deansgate-Castlefield Metrolink stop</t>
  </si>
  <si>
    <t>POM</t>
  </si>
  <si>
    <t>Pomona Metrolink stop</t>
  </si>
  <si>
    <t>TFB</t>
  </si>
  <si>
    <t>Trafford Bar Metrolink stop</t>
  </si>
  <si>
    <t>SHL</t>
  </si>
  <si>
    <t>Shudehill Metrolink stop</t>
  </si>
  <si>
    <t>FIR</t>
  </si>
  <si>
    <t>Firswood Metrolink stop</t>
  </si>
  <si>
    <t>CHO</t>
  </si>
  <si>
    <t>Chorlton Metrolink stop</t>
  </si>
  <si>
    <t>SWR</t>
  </si>
  <si>
    <t>St Werburgh's Road Metrolink stop</t>
  </si>
  <si>
    <t>SWP</t>
  </si>
  <si>
    <t>Sale Water Park Metrolink stop</t>
  </si>
  <si>
    <t>NMR</t>
  </si>
  <si>
    <t>Northern Moor Metrolink stop</t>
  </si>
  <si>
    <t>WPK</t>
  </si>
  <si>
    <t>Wythenshawe Park Metrolink stop</t>
  </si>
  <si>
    <t>MRD</t>
  </si>
  <si>
    <t>Moor Road Metrolink stop</t>
  </si>
  <si>
    <t>BAG</t>
  </si>
  <si>
    <t>Baguley Metrolink stop</t>
  </si>
  <si>
    <t>RTH</t>
  </si>
  <si>
    <t>Roundthorn Metrolink stop</t>
  </si>
  <si>
    <t>MAR</t>
  </si>
  <si>
    <t>Martinscroft Metrolink stop</t>
  </si>
  <si>
    <t>BCH</t>
  </si>
  <si>
    <t>Benchill Metrolink stop</t>
  </si>
  <si>
    <t>CRO</t>
  </si>
  <si>
    <t>Crossacres Metrolink stop</t>
  </si>
  <si>
    <t>RBN</t>
  </si>
  <si>
    <t>Robinswood Road Metrolink stop</t>
  </si>
  <si>
    <t>PLH</t>
  </si>
  <si>
    <t>Peel Hall Metrolink stop</t>
  </si>
  <si>
    <t>SHD</t>
  </si>
  <si>
    <t>Shadowmoss Metrolink stop</t>
  </si>
  <si>
    <t>AIR</t>
  </si>
  <si>
    <t>Manchester Airport Metrolink stop</t>
  </si>
  <si>
    <t>NIS</t>
  </si>
  <si>
    <t>New Islington Metrolink stop</t>
  </si>
  <si>
    <t>HOT</t>
  </si>
  <si>
    <t>Holt Town Metrolink stop</t>
  </si>
  <si>
    <t>SPC</t>
  </si>
  <si>
    <t>Etihad Campus Metrolink stop</t>
  </si>
  <si>
    <t>VEL</t>
  </si>
  <si>
    <t>Velopark Metrolink stop</t>
  </si>
  <si>
    <t>CLA</t>
  </si>
  <si>
    <t>Clayton Hall Metrolink stop</t>
  </si>
  <si>
    <t>EDL</t>
  </si>
  <si>
    <t>Edge Lane Metrolink stop</t>
  </si>
  <si>
    <t>CER</t>
  </si>
  <si>
    <t>Cemetery Road Metrolink stop</t>
  </si>
  <si>
    <t>DYL</t>
  </si>
  <si>
    <t>Droylsden Metrolink stop</t>
  </si>
  <si>
    <t>AUD</t>
  </si>
  <si>
    <t>Audenshaw Metrolink stop</t>
  </si>
  <si>
    <t>ASM</t>
  </si>
  <si>
    <t>Ashton Moss Metrolink stop</t>
  </si>
  <si>
    <t>ASW</t>
  </si>
  <si>
    <t>Ashton West Metrolink stop</t>
  </si>
  <si>
    <t>ASH</t>
  </si>
  <si>
    <t>Ashton-under-Lyne Metrolink stop</t>
  </si>
  <si>
    <t>QNS</t>
  </si>
  <si>
    <t>Queens Road Metrolink stop</t>
  </si>
  <si>
    <t>MON</t>
  </si>
  <si>
    <t>Monsall Metrolink stop</t>
  </si>
  <si>
    <t>CEP</t>
  </si>
  <si>
    <t>Central Park Metrolink stop</t>
  </si>
  <si>
    <t>NHM</t>
  </si>
  <si>
    <t>Newton Heath and Moston Metrolink stop</t>
  </si>
  <si>
    <t>FAL</t>
  </si>
  <si>
    <t>Failsworth Metrolink stop</t>
  </si>
  <si>
    <t>HOL</t>
  </si>
  <si>
    <t>Hollinwood Metrolink stop</t>
  </si>
  <si>
    <t>SOC</t>
  </si>
  <si>
    <t>South Chadderton Metrolink stop</t>
  </si>
  <si>
    <t>CNK</t>
  </si>
  <si>
    <t>Cornbrook Metrolink stop</t>
  </si>
  <si>
    <t>1, 2</t>
  </si>
  <si>
    <t>ABM</t>
  </si>
  <si>
    <t>Abraham Moss Metrolink stop</t>
  </si>
  <si>
    <t>DAN</t>
  </si>
  <si>
    <t>Dane Road Metrolink stop</t>
  </si>
  <si>
    <t>SAL</t>
  </si>
  <si>
    <t>Sale Metrolink stop</t>
  </si>
  <si>
    <t>BRK</t>
  </si>
  <si>
    <t>Brooklands Metrolink stop</t>
  </si>
  <si>
    <t>TMP</t>
  </si>
  <si>
    <t>Timperley Metrolink stop</t>
  </si>
  <si>
    <t>NAV</t>
  </si>
  <si>
    <t>Navigation Road Metrolink stop</t>
  </si>
  <si>
    <t>ALT</t>
  </si>
  <si>
    <t>Altrincham Metrolink stop</t>
  </si>
  <si>
    <t>ECC</t>
  </si>
  <si>
    <t>Eccles Metrolink stop</t>
  </si>
  <si>
    <t>LDW</t>
  </si>
  <si>
    <t>Ladywell Metrolink stop</t>
  </si>
  <si>
    <t>SFQ</t>
  </si>
  <si>
    <t>Salford Quays Metrolink stop</t>
  </si>
  <si>
    <t>EXQ</t>
  </si>
  <si>
    <t>Exchange Quay Metrolink stop</t>
  </si>
  <si>
    <t>HBC</t>
  </si>
  <si>
    <t>Harbour City Metrolink stop</t>
  </si>
  <si>
    <t>ANC</t>
  </si>
  <si>
    <t>Anchorage Metrolink stop</t>
  </si>
  <si>
    <t>BDW</t>
  </si>
  <si>
    <t>Broadway Metrolink stop</t>
  </si>
  <si>
    <t>LGW</t>
  </si>
  <si>
    <t>Langworthy Metrolink stop</t>
  </si>
  <si>
    <t>WST</t>
  </si>
  <si>
    <t>Weaste Metrolink stop</t>
  </si>
  <si>
    <t>OLD</t>
  </si>
  <si>
    <t>Old Trafford Metrolink stop</t>
  </si>
  <si>
    <t>STR</t>
  </si>
  <si>
    <t>Stretford Metrolink stop</t>
  </si>
  <si>
    <t>MEC</t>
  </si>
  <si>
    <t>MediaCityUK Metrolink stop</t>
  </si>
  <si>
    <t>FRE</t>
  </si>
  <si>
    <t>Freehold Metrolink stop</t>
  </si>
  <si>
    <t>OHK</t>
  </si>
  <si>
    <t>Oldham King Street Metrolink stop</t>
  </si>
  <si>
    <t>OHC</t>
  </si>
  <si>
    <t>Oldham Central Metrolink stop</t>
  </si>
  <si>
    <t>OHM</t>
  </si>
  <si>
    <t>Oldham Mumps Metrolink stop</t>
  </si>
  <si>
    <t>DER</t>
  </si>
  <si>
    <t>Derker Metrolink stop</t>
  </si>
  <si>
    <t>SHC</t>
  </si>
  <si>
    <t>Shaw and Crompton Metrolink stop</t>
  </si>
  <si>
    <t>NEH</t>
  </si>
  <si>
    <t>Newhey Metrolink stop</t>
  </si>
  <si>
    <t>MIL</t>
  </si>
  <si>
    <t>Milnrow Metrolink stop</t>
  </si>
  <si>
    <t>KIN</t>
  </si>
  <si>
    <t>Kingsway Business Park Metrolink stop</t>
  </si>
  <si>
    <t>NEB</t>
  </si>
  <si>
    <t>Newbold Metrolink stop</t>
  </si>
  <si>
    <t>ROC</t>
  </si>
  <si>
    <t>Rochdale Railway Station Metrolink stop</t>
  </si>
  <si>
    <t>RTC</t>
  </si>
  <si>
    <t>Rochdale Town Centre Metrolink stop</t>
  </si>
  <si>
    <t>BMR</t>
  </si>
  <si>
    <t>Barlow Moor Road Metrolink stop</t>
  </si>
  <si>
    <t>WTH</t>
  </si>
  <si>
    <t>Withington Metrolink stop</t>
  </si>
  <si>
    <t>BRT</t>
  </si>
  <si>
    <t>Burton Road Metrolink stop</t>
  </si>
  <si>
    <t>WDD</t>
  </si>
  <si>
    <t>West Didsbury Metrolink stop</t>
  </si>
  <si>
    <t>DDV</t>
  </si>
  <si>
    <t>Didsbury Village Metrolink stop</t>
  </si>
  <si>
    <t>EDD</t>
  </si>
  <si>
    <t>East Didsbury Metrolink stop</t>
  </si>
  <si>
    <t>WYC</t>
  </si>
  <si>
    <t>Wythenshawe Town Centre Metrolink stop</t>
  </si>
  <si>
    <t>WWD</t>
  </si>
  <si>
    <t>Westwood Metrolink stop</t>
  </si>
  <si>
    <t>EXS</t>
  </si>
  <si>
    <t>Exchange Square Metrolink stop</t>
  </si>
  <si>
    <t>TRC</t>
  </si>
  <si>
    <t>The Trafford Centre Metrolink stop</t>
  </si>
  <si>
    <t>WSD</t>
  </si>
  <si>
    <t>Wharfside Metrolink stop</t>
  </si>
  <si>
    <t>IWM</t>
  </si>
  <si>
    <t>Imperial War Museum Metrolink stop</t>
  </si>
  <si>
    <t>VLG</t>
  </si>
  <si>
    <t>Village Metrolink stop</t>
  </si>
  <si>
    <t>PAR</t>
  </si>
  <si>
    <t>Parkway Metrolink stop</t>
  </si>
  <si>
    <t>EVC</t>
  </si>
  <si>
    <t>Barton Dock Road Metrolink stop</t>
  </si>
  <si>
    <t>SPS</t>
  </si>
  <si>
    <t>St Peter's Square Metrolink stop</t>
  </si>
  <si>
    <t>Rain (mm)</t>
  </si>
  <si>
    <t>Temperature (°C)</t>
  </si>
  <si>
    <t>Wind Speed (km/h)</t>
  </si>
  <si>
    <t>Relative Humidity (%)</t>
  </si>
  <si>
    <t>Pressure (hPa)</t>
  </si>
  <si>
    <t>Tile</t>
  </si>
  <si>
    <t>Number in set</t>
  </si>
  <si>
    <t>Score</t>
  </si>
  <si>
    <t>Blank</t>
  </si>
  <si>
    <t>A</t>
  </si>
  <si>
    <t>B</t>
  </si>
  <si>
    <t>C</t>
  </si>
  <si>
    <t>D</t>
  </si>
  <si>
    <t>E</t>
  </si>
  <si>
    <t>F</t>
  </si>
  <si>
    <t>G</t>
  </si>
  <si>
    <t>H</t>
  </si>
  <si>
    <t>I</t>
  </si>
  <si>
    <t>J</t>
  </si>
  <si>
    <t>K</t>
  </si>
  <si>
    <t>L</t>
  </si>
  <si>
    <t>M</t>
  </si>
  <si>
    <t>N</t>
  </si>
  <si>
    <t>O</t>
  </si>
  <si>
    <t>P</t>
  </si>
  <si>
    <t>Q</t>
  </si>
  <si>
    <t>R</t>
  </si>
  <si>
    <t>S</t>
  </si>
  <si>
    <t>T</t>
  </si>
  <si>
    <t>U</t>
  </si>
  <si>
    <t>V</t>
  </si>
  <si>
    <t>W</t>
  </si>
  <si>
    <t>X</t>
  </si>
  <si>
    <t>Y</t>
  </si>
  <si>
    <t>Z</t>
  </si>
  <si>
    <t>(i) If I pick a tram stop on the Metrolink at random, what is the probability that it is in Zone 1?</t>
  </si>
  <si>
    <t>(ii) If I pick a tram stop on the Metrolink at random, what is the probability that it was opened before the start of the year 2000?</t>
  </si>
  <si>
    <t>Number of stops in zone 1</t>
  </si>
  <si>
    <t>total number of stops</t>
  </si>
  <si>
    <t>Proportion</t>
  </si>
  <si>
    <t>Number of stops opened before 2000</t>
  </si>
  <si>
    <r>
      <t>(c) Create a table with headings ‘Zone’ and ‘Count’, with a row for each fare zone 1-4, and use </t>
    </r>
    <r>
      <rPr>
        <sz val="12"/>
        <color rgb="FF912583"/>
        <rFont val="Aptos"/>
      </rPr>
      <t>=COUNTIF()</t>
    </r>
    <r>
      <rPr>
        <sz val="12"/>
        <color rgb="FF222832"/>
        <rFont val="Aptos"/>
      </rPr>
      <t> to fill in the second column showing how many stops lie in each fare zone.</t>
    </r>
  </si>
  <si>
    <r>
      <t>(d) Use the </t>
    </r>
    <r>
      <rPr>
        <sz val="12"/>
        <color rgb="FF912583"/>
        <rFont val="Aptos"/>
      </rPr>
      <t>=PROB()</t>
    </r>
    <r>
      <rPr>
        <sz val="12"/>
        <color rgb="FF222832"/>
        <rFont val="Aptos"/>
      </rPr>
      <t> function and this table to find the probability that a randomly chosen Metrolink stop is in zone 3 or 4.</t>
    </r>
  </si>
  <si>
    <t>Zone</t>
  </si>
  <si>
    <t>Count</t>
  </si>
  <si>
    <t>This is more than the number of stops, as stops in multiple zones are counted twice</t>
  </si>
  <si>
    <t>(Needed to also include stops in zones 1 and 2)</t>
  </si>
  <si>
    <t>(including stops in zones 1 and 2)</t>
  </si>
  <si>
    <t>(including stops in zones 1/2, and 2/3)</t>
  </si>
  <si>
    <t>(including stops in zones 2/3, and 3/4)</t>
  </si>
  <si>
    <t>(including stops in zones 3/4)</t>
  </si>
  <si>
    <t>Probability</t>
  </si>
  <si>
    <t>these add up to more than 100%!</t>
  </si>
  <si>
    <t>Probability of 3 or 4</t>
  </si>
  <si>
    <t>Another version of the table, counting multi-stop stations as being in the lower numbered of the two zones</t>
  </si>
  <si>
    <t> (i) The number of days in 2024 on which the temperature at noon was more than 18 degrees.</t>
  </si>
  <si>
    <t> (ii) The number of days in 2024 on which there was any non-zero amount of rainfall at noon.</t>
  </si>
  <si>
    <t> (iii) The number of days in 2024 on which the wind speed at noon was more than 10kmph.</t>
  </si>
  <si>
    <t>(d) For each of the three pairs, calculate the joint probability of both happening (given your original values from part (b), which give the number of times out of 366 that each individual event happened) by multiplying them together.</t>
  </si>
  <si>
    <t>(e) If the events were independent, what would you expect these values to be? Do any of the pairs of events seem to display independence?</t>
  </si>
  <si>
    <r>
      <t>(b) Use a </t>
    </r>
    <r>
      <rPr>
        <sz val="12"/>
        <color rgb="FF912583"/>
        <rFont val="Aptos"/>
      </rPr>
      <t>=COUNTIF()</t>
    </r>
    <r>
      <rPr>
        <sz val="12"/>
        <color rgb="FF222832"/>
        <rFont val="Aptos"/>
      </rPr>
      <t> function or a filter to obtain the values listed below:</t>
    </r>
  </si>
  <si>
    <r>
      <t>(c) For each pair out of these three measurements, use a </t>
    </r>
    <r>
      <rPr>
        <sz val="12"/>
        <color rgb="FF912583"/>
        <rFont val="Aptos"/>
      </rPr>
      <t>=COUNTIFS()</t>
    </r>
    <r>
      <rPr>
        <sz val="12"/>
        <color rgb="FF222832"/>
        <rFont val="Aptos"/>
      </rPr>
      <t> function to find the number of days that both were true.</t>
    </r>
  </si>
  <si>
    <t>Temp and Rain</t>
  </si>
  <si>
    <t>Temp and Wind</t>
  </si>
  <si>
    <t>Rain and Wind</t>
  </si>
  <si>
    <t>As a proportion of 366</t>
  </si>
  <si>
    <t>If the events were independent, they would match the values from part (c).</t>
  </si>
  <si>
    <t>The three events do seem to largely be independent, as the probabilities are reasonably close; the pair closest to independent are high temperatures and rain.</t>
  </si>
  <si>
    <t>(c) Try changing the values of s and f, and see how this affects the probability. Are the values what you expect? Why would the designers of Scrabble want this to be the case?</t>
  </si>
  <si>
    <t>s</t>
  </si>
  <si>
    <t>f</t>
  </si>
  <si>
    <t>Number of tiles with score &gt;= s:</t>
  </si>
  <si>
    <t>Number of tiles with freq &gt;= f:</t>
  </si>
  <si>
    <t>Number of tiles with both:</t>
  </si>
  <si>
    <t>P(A|B) =</t>
  </si>
  <si>
    <t>(b) Let s=3, and f=2. Let  A= ‘a tile has a score greater than or equal to s’ and  B= ‘a tile occurrs in the set with frequency greater than or equal to f’. What is P(A|B)? Build a spreadsheet to find the conditional probabilities by counting the number of tiles which satisfy both. Set it up using a cell containing the values of s and f, and use references with dollar symbols to those cells.</t>
  </si>
  <si>
    <t>Generally, tiles with higher scores occur with lower frequency and vice versa. This is because playing words containing rarer letters is harder and is rewarded with more points.</t>
  </si>
  <si>
    <t>(d) Calculate P(B|A). Are these the same? Would you expect them to be?</t>
  </si>
  <si>
    <t>P(B|A)=</t>
  </si>
  <si>
    <t>In general, P(A|B) is not equal to P(B|A). We would expect that given a tile occurs with high frequency, it is unlikely to be high-scoring. For the values s=3 and f=2 we get a high proportion, as there are 9 different letters for which they occur with frequency 2 and score 3 or 4, making up the 18 tiles in the intersection, and not many other tiles are high scoring so this represents a large proportion. For s=4 or more, this proportion drops to zero.</t>
  </si>
  <si>
    <t>Lottery</t>
  </si>
  <si>
    <t>How many numbers</t>
  </si>
  <si>
    <t>How many drawn</t>
  </si>
  <si>
    <t>Frequency (per week)</t>
  </si>
  <si>
    <t>Jackpot number</t>
  </si>
  <si>
    <t>UK</t>
  </si>
  <si>
    <t>Probability of winning</t>
  </si>
  <si>
    <t>Weekly probability</t>
  </si>
  <si>
    <t>Data from other countries can be added to this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</si>
</sst>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00%"/>
    <numFmt numFmtId="165" formatCode="0.00000000000%"/>
  </numFmts>
  <fonts count="8" x14ac:knownFonts="1">
    <font>
      <sz val="12"/>
      <color theme="1"/>
      <name val="Aptos Narrow"/>
      <family val="2"/>
      <scheme val="minor"/>
    </font>
    <font>
      <sz val="12"/>
      <color theme="1"/>
      <name val="Aptos Narrow"/>
      <family val="2"/>
      <scheme val="minor"/>
    </font>
    <font>
      <sz val="10"/>
      <color theme="1"/>
      <name val="Arial"/>
      <family val="2"/>
    </font>
    <font>
      <sz val="12"/>
      <color theme="1"/>
      <name val="Aptos"/>
    </font>
    <font>
      <sz val="12"/>
      <color rgb="FF222832"/>
      <name val="Aptos"/>
    </font>
    <font>
      <sz val="12"/>
      <color rgb="FF912583"/>
      <name val="Aptos"/>
    </font>
    <font>
      <sz val="12"/>
      <color rgb="FF000000"/>
      <name val="Aptos Narrow"/>
      <family val="2"/>
      <scheme val="minor"/>
    </font>
    <font>
      <b/>
      <sz val="12"/>
      <color theme="1"/>
      <name val="Aptos Narrow"/>
      <scheme val="minor"/>
    </font>
  </fonts>
  <fills count="2">
    <fill>
      <patternFill patternType="none"/>
    </fill>
    <fill>
      <patternFill patternType="gray125"/>
    </fill>
  </fills>
  <borders count="1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27">
    <xf numFmtId="0" fontId="0" fillId="0" borderId="0" xfId="0"/>
    <xf numFmtId="14" fontId="0" fillId="0" borderId="0" xfId="0" applyNumberFormat="1"/>
    <xf numFmtId="0" fontId="2" fillId="0" borderId="0" xfId="0" applyFont="1"/>
    <xf numFmtId="0" fontId="3" fillId="0" borderId="0" xfId="0" applyFont="1"/>
    <xf numFmtId="0" fontId="4" fillId="0" borderId="0" xfId="0" applyFont="1"/>
    <xf numFmtId="10" fontId="0" fillId="0" borderId="0" xfId="1" applyNumberFormat="1" applyFont="1"/>
    <xf numFmtId="0" fontId="6" fillId="0" borderId="0" xfId="0" applyFont="1"/>
    <xf numFmtId="10" fontId="0" fillId="0" borderId="0" xfId="0" applyNumberFormat="1"/>
    <xf numFmtId="0" fontId="0" fillId="0" borderId="1" xfId="0" applyBorder="1"/>
    <xf numFmtId="0" fontId="0" fillId="0" borderId="3" xfId="0" applyBorder="1"/>
    <xf numFmtId="0" fontId="0" fillId="0" borderId="4" xfId="0" applyBorder="1"/>
    <xf numFmtId="0" fontId="0" fillId="0" borderId="5" xfId="0" applyBorder="1"/>
    <xf numFmtId="0" fontId="0" fillId="0" borderId="6" xfId="0" applyBorder="1"/>
    <xf numFmtId="10" fontId="0" fillId="0" borderId="7" xfId="1" applyNumberFormat="1" applyFont="1" applyBorder="1"/>
    <xf numFmtId="0" fontId="0" fillId="0" borderId="8" xfId="0" applyBorder="1"/>
    <xf numFmtId="10" fontId="0" fillId="0" borderId="9" xfId="1" applyNumberFormat="1" applyFont="1" applyBorder="1"/>
    <xf numFmtId="0" fontId="0" fillId="0" borderId="0" xfId="0" applyAlignment="1">
      <alignment horizontal="right"/>
    </xf>
    <xf numFmtId="0" fontId="0" fillId="0" borderId="0" xfId="0" applyAlignment="1">
      <alignment horizontal="left"/>
    </xf>
    <xf numFmtId="0" fontId="0" fillId="0" borderId="2" xfId="0" applyBorder="1" applyAlignment="1">
      <alignment horizontal="left"/>
    </xf>
    <xf numFmtId="0" fontId="7" fillId="0" borderId="3" xfId="0" applyFont="1" applyBorder="1"/>
    <xf numFmtId="0" fontId="7" fillId="0" borderId="4" xfId="0" applyFont="1" applyBorder="1"/>
    <xf numFmtId="10" fontId="7" fillId="0" borderId="4" xfId="1" applyNumberFormat="1" applyFont="1" applyBorder="1"/>
    <xf numFmtId="10" fontId="7" fillId="0" borderId="5" xfId="1" applyNumberFormat="1" applyFont="1" applyBorder="1"/>
    <xf numFmtId="165" fontId="0" fillId="0" borderId="0" xfId="1" applyNumberFormat="1" applyFont="1" applyBorder="1"/>
    <xf numFmtId="164" fontId="0" fillId="0" borderId="7" xfId="1" applyNumberFormat="1" applyFont="1" applyBorder="1"/>
    <xf numFmtId="165" fontId="0" fillId="0" borderId="1" xfId="1" applyNumberFormat="1" applyFont="1" applyBorder="1"/>
    <xf numFmtId="164" fontId="0" fillId="0" borderId="9" xfId="1" applyNumberFormat="1" applyFont="1" applyBorder="1"/>
  </cellXfs>
  <cellStyles count="2">
    <cellStyle name="Normal" xfId="0" builtinId="0"/>
    <cellStyle name="Per 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A8079-6BC3-364A-8DCA-ADF9ACFE0022}">
  <dimension ref="B2"/>
  <sheetViews>
    <sheetView workbookViewId="0">
      <selection activeCell="B3" sqref="B3"/>
    </sheetView>
  </sheetViews>
  <sheetFormatPr baseColWidth="10" defaultRowHeight="16" x14ac:dyDescent="0.2"/>
  <sheetData>
    <row r="2" spans="2:2" x14ac:dyDescent="0.2">
      <c r="B2"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20CAC-2A78-974A-BA58-DF4C82630DBC}">
  <dimension ref="A1:I101"/>
  <sheetViews>
    <sheetView topLeftCell="A13" zoomScale="113" workbookViewId="0">
      <selection activeCell="F37" sqref="F37"/>
    </sheetView>
  </sheetViews>
  <sheetFormatPr baseColWidth="10" defaultRowHeight="16" x14ac:dyDescent="0.2"/>
  <sheetData>
    <row r="1" spans="1:9" x14ac:dyDescent="0.2">
      <c r="A1" t="s">
        <v>1</v>
      </c>
    </row>
    <row r="2" spans="1:9" x14ac:dyDescent="0.2">
      <c r="A2" t="s">
        <v>2</v>
      </c>
      <c r="B2" t="s">
        <v>3</v>
      </c>
      <c r="C2" t="s">
        <v>4</v>
      </c>
      <c r="D2" t="s">
        <v>5</v>
      </c>
    </row>
    <row r="3" spans="1:9" x14ac:dyDescent="0.2">
      <c r="A3" t="s">
        <v>6</v>
      </c>
      <c r="B3" t="s">
        <v>7</v>
      </c>
      <c r="C3">
        <v>3</v>
      </c>
      <c r="D3" s="1">
        <v>33700</v>
      </c>
      <c r="F3" s="4" t="s">
        <v>242</v>
      </c>
    </row>
    <row r="4" spans="1:9" x14ac:dyDescent="0.2">
      <c r="A4" t="s">
        <v>8</v>
      </c>
      <c r="B4" t="s">
        <v>9</v>
      </c>
      <c r="C4" t="s">
        <v>10</v>
      </c>
      <c r="D4" s="1">
        <v>33700</v>
      </c>
      <c r="F4" s="3"/>
    </row>
    <row r="5" spans="1:9" x14ac:dyDescent="0.2">
      <c r="A5" t="s">
        <v>11</v>
      </c>
      <c r="B5" t="s">
        <v>12</v>
      </c>
      <c r="C5">
        <v>2</v>
      </c>
      <c r="D5" s="1">
        <v>33700</v>
      </c>
      <c r="F5">
        <f>COUNTIF(C3:C101, 1) + COUNTIF(C3:C101, "1, 2")</f>
        <v>10</v>
      </c>
      <c r="G5" t="s">
        <v>244</v>
      </c>
      <c r="I5" t="s">
        <v>253</v>
      </c>
    </row>
    <row r="6" spans="1:9" x14ac:dyDescent="0.2">
      <c r="A6" t="s">
        <v>13</v>
      </c>
      <c r="B6" t="s">
        <v>14</v>
      </c>
      <c r="C6">
        <v>4</v>
      </c>
      <c r="D6" s="1">
        <v>33700</v>
      </c>
      <c r="F6" s="3">
        <v>99</v>
      </c>
      <c r="G6" t="s">
        <v>245</v>
      </c>
    </row>
    <row r="7" spans="1:9" x14ac:dyDescent="0.2">
      <c r="A7" t="s">
        <v>15</v>
      </c>
      <c r="B7" t="s">
        <v>16</v>
      </c>
      <c r="C7">
        <v>4</v>
      </c>
      <c r="D7" s="1">
        <v>33700</v>
      </c>
      <c r="F7" s="5">
        <f>F5/F6</f>
        <v>0.10101010101010101</v>
      </c>
      <c r="G7" t="s">
        <v>246</v>
      </c>
    </row>
    <row r="8" spans="1:9" x14ac:dyDescent="0.2">
      <c r="A8" t="s">
        <v>17</v>
      </c>
      <c r="B8" t="s">
        <v>18</v>
      </c>
      <c r="C8" t="s">
        <v>19</v>
      </c>
      <c r="D8" s="1">
        <v>33700</v>
      </c>
    </row>
    <row r="9" spans="1:9" x14ac:dyDescent="0.2">
      <c r="A9" t="s">
        <v>20</v>
      </c>
      <c r="B9" t="s">
        <v>21</v>
      </c>
      <c r="C9">
        <v>3</v>
      </c>
      <c r="D9" s="1">
        <v>33700</v>
      </c>
    </row>
    <row r="10" spans="1:9" x14ac:dyDescent="0.2">
      <c r="A10" t="s">
        <v>22</v>
      </c>
      <c r="B10" t="s">
        <v>23</v>
      </c>
      <c r="C10">
        <v>3</v>
      </c>
      <c r="D10" s="1">
        <v>33700</v>
      </c>
      <c r="F10" s="4" t="s">
        <v>243</v>
      </c>
    </row>
    <row r="11" spans="1:9" x14ac:dyDescent="0.2">
      <c r="A11" t="s">
        <v>24</v>
      </c>
      <c r="B11" t="s">
        <v>25</v>
      </c>
      <c r="C11">
        <v>1</v>
      </c>
      <c r="D11" s="1">
        <v>33700</v>
      </c>
    </row>
    <row r="12" spans="1:9" x14ac:dyDescent="0.2">
      <c r="A12" t="s">
        <v>26</v>
      </c>
      <c r="B12" t="s">
        <v>27</v>
      </c>
      <c r="C12">
        <v>1</v>
      </c>
      <c r="D12" s="1">
        <v>33721</v>
      </c>
      <c r="F12" s="1">
        <v>36526</v>
      </c>
    </row>
    <row r="13" spans="1:9" x14ac:dyDescent="0.2">
      <c r="A13" t="s">
        <v>28</v>
      </c>
      <c r="B13" t="s">
        <v>29</v>
      </c>
      <c r="C13">
        <v>1</v>
      </c>
      <c r="D13" s="1">
        <v>33805</v>
      </c>
      <c r="F13">
        <f>COUNTIF(D3:D101, "&lt;"&amp;F12)</f>
        <v>29</v>
      </c>
      <c r="G13" t="s">
        <v>247</v>
      </c>
    </row>
    <row r="14" spans="1:9" x14ac:dyDescent="0.2">
      <c r="A14" t="s">
        <v>30</v>
      </c>
      <c r="B14" t="s">
        <v>31</v>
      </c>
      <c r="C14">
        <v>1</v>
      </c>
      <c r="D14" s="1">
        <v>33805</v>
      </c>
      <c r="F14" s="3">
        <v>99</v>
      </c>
      <c r="G14" t="s">
        <v>245</v>
      </c>
    </row>
    <row r="15" spans="1:9" x14ac:dyDescent="0.2">
      <c r="A15" t="s">
        <v>32</v>
      </c>
      <c r="B15" t="s">
        <v>33</v>
      </c>
      <c r="C15">
        <v>1</v>
      </c>
      <c r="D15" s="1">
        <v>33721</v>
      </c>
      <c r="F15" s="5">
        <f>F13/F14</f>
        <v>0.29292929292929293</v>
      </c>
      <c r="G15" t="s">
        <v>246</v>
      </c>
    </row>
    <row r="16" spans="1:9" x14ac:dyDescent="0.2">
      <c r="A16" t="s">
        <v>34</v>
      </c>
      <c r="B16" t="s">
        <v>35</v>
      </c>
      <c r="C16">
        <v>2</v>
      </c>
      <c r="D16" s="1">
        <v>36500</v>
      </c>
    </row>
    <row r="17" spans="1:8" x14ac:dyDescent="0.2">
      <c r="A17" t="s">
        <v>36</v>
      </c>
      <c r="B17" t="s">
        <v>37</v>
      </c>
      <c r="C17">
        <v>2</v>
      </c>
      <c r="D17" s="1">
        <v>33770</v>
      </c>
      <c r="F17" s="4" t="s">
        <v>248</v>
      </c>
    </row>
    <row r="18" spans="1:8" x14ac:dyDescent="0.2">
      <c r="A18" t="s">
        <v>38</v>
      </c>
      <c r="B18" t="s">
        <v>39</v>
      </c>
      <c r="C18">
        <v>1</v>
      </c>
      <c r="D18" s="1">
        <v>37711</v>
      </c>
      <c r="F18" s="3"/>
    </row>
    <row r="19" spans="1:8" x14ac:dyDescent="0.2">
      <c r="A19" t="s">
        <v>40</v>
      </c>
      <c r="B19" t="s">
        <v>41</v>
      </c>
      <c r="C19">
        <v>2</v>
      </c>
      <c r="D19" s="1">
        <v>40731</v>
      </c>
      <c r="F19" t="s">
        <v>250</v>
      </c>
      <c r="G19" t="s">
        <v>251</v>
      </c>
    </row>
    <row r="20" spans="1:8" x14ac:dyDescent="0.2">
      <c r="A20" t="s">
        <v>42</v>
      </c>
      <c r="B20" t="s">
        <v>43</v>
      </c>
      <c r="C20">
        <v>2</v>
      </c>
      <c r="D20" s="1">
        <v>40731</v>
      </c>
      <c r="F20">
        <v>1</v>
      </c>
      <c r="G20">
        <f>COUNTIF($C$2:$C$101, F20) + COUNTIF($C$2:$C$101, F20&amp;","&amp;F21)</f>
        <v>9</v>
      </c>
      <c r="H20" t="s">
        <v>254</v>
      </c>
    </row>
    <row r="21" spans="1:8" x14ac:dyDescent="0.2">
      <c r="A21" t="s">
        <v>44</v>
      </c>
      <c r="B21" t="s">
        <v>45</v>
      </c>
      <c r="C21" t="s">
        <v>10</v>
      </c>
      <c r="D21" s="1">
        <v>40731</v>
      </c>
      <c r="F21">
        <v>2</v>
      </c>
      <c r="G21">
        <f>COUNTIF($C$2:$C$101, F21) + COUNTIF($C$2:$C$101, F21&amp;", "&amp;F22)+ COUNTIF($C$2:$C$101, F20&amp;", "&amp;F21)</f>
        <v>35</v>
      </c>
      <c r="H21" t="s">
        <v>255</v>
      </c>
    </row>
    <row r="22" spans="1:8" x14ac:dyDescent="0.2">
      <c r="A22" t="s">
        <v>46</v>
      </c>
      <c r="B22" t="s">
        <v>47</v>
      </c>
      <c r="C22">
        <v>3</v>
      </c>
      <c r="D22" s="1">
        <v>41946</v>
      </c>
      <c r="F22">
        <v>3</v>
      </c>
      <c r="G22">
        <f>COUNTIF($C$2:$C$101, F22) + COUNTIF($C$2:$C$101, F22&amp;", "&amp;F23)+ COUNTIF($C$2:$C$101, F21&amp;", "&amp;F22)</f>
        <v>42</v>
      </c>
      <c r="H22" t="s">
        <v>256</v>
      </c>
    </row>
    <row r="23" spans="1:8" x14ac:dyDescent="0.2">
      <c r="A23" t="s">
        <v>48</v>
      </c>
      <c r="B23" t="s">
        <v>49</v>
      </c>
      <c r="C23">
        <v>3</v>
      </c>
      <c r="D23" s="1">
        <v>41946</v>
      </c>
      <c r="F23">
        <v>4</v>
      </c>
      <c r="G23">
        <f>COUNTIF($C$2:$C$101, F23) + COUNTIF($C$2:$C$101, F22&amp;", "&amp;F23)</f>
        <v>24</v>
      </c>
      <c r="H23" s="6" t="s">
        <v>257</v>
      </c>
    </row>
    <row r="24" spans="1:8" x14ac:dyDescent="0.2">
      <c r="A24" t="s">
        <v>50</v>
      </c>
      <c r="B24" t="s">
        <v>51</v>
      </c>
      <c r="C24">
        <v>3</v>
      </c>
      <c r="D24" s="1">
        <v>41946</v>
      </c>
      <c r="G24">
        <f>SUM(G20:G23)</f>
        <v>110</v>
      </c>
      <c r="H24" t="s">
        <v>252</v>
      </c>
    </row>
    <row r="25" spans="1:8" x14ac:dyDescent="0.2">
      <c r="A25" t="s">
        <v>52</v>
      </c>
      <c r="B25" t="s">
        <v>53</v>
      </c>
      <c r="C25">
        <v>3</v>
      </c>
      <c r="D25" s="1">
        <v>41946</v>
      </c>
    </row>
    <row r="26" spans="1:8" x14ac:dyDescent="0.2">
      <c r="A26" t="s">
        <v>54</v>
      </c>
      <c r="B26" t="s">
        <v>55</v>
      </c>
      <c r="C26">
        <v>3</v>
      </c>
      <c r="D26" s="1">
        <v>41946</v>
      </c>
    </row>
    <row r="27" spans="1:8" x14ac:dyDescent="0.2">
      <c r="A27" t="s">
        <v>56</v>
      </c>
      <c r="B27" t="s">
        <v>57</v>
      </c>
      <c r="C27" t="s">
        <v>19</v>
      </c>
      <c r="D27" s="1">
        <v>41946</v>
      </c>
      <c r="F27" s="4" t="s">
        <v>249</v>
      </c>
    </row>
    <row r="28" spans="1:8" x14ac:dyDescent="0.2">
      <c r="A28" t="s">
        <v>58</v>
      </c>
      <c r="B28" t="s">
        <v>59</v>
      </c>
      <c r="C28">
        <v>4</v>
      </c>
      <c r="D28" s="1">
        <v>41946</v>
      </c>
    </row>
    <row r="29" spans="1:8" x14ac:dyDescent="0.2">
      <c r="A29" t="s">
        <v>60</v>
      </c>
      <c r="B29" t="s">
        <v>61</v>
      </c>
      <c r="C29">
        <v>4</v>
      </c>
      <c r="D29" s="1">
        <v>41946</v>
      </c>
      <c r="F29" s="9" t="s">
        <v>250</v>
      </c>
      <c r="G29" s="10" t="s">
        <v>251</v>
      </c>
      <c r="H29" s="11" t="s">
        <v>258</v>
      </c>
    </row>
    <row r="30" spans="1:8" x14ac:dyDescent="0.2">
      <c r="A30" t="s">
        <v>62</v>
      </c>
      <c r="B30" t="s">
        <v>63</v>
      </c>
      <c r="C30">
        <v>4</v>
      </c>
      <c r="D30" s="1">
        <v>41946</v>
      </c>
      <c r="F30" s="12">
        <v>1</v>
      </c>
      <c r="G30">
        <f>COUNTIF($C$2:$C$101, F30) + COUNTIF($C$2:$C$101, F30&amp;", "&amp;F31)</f>
        <v>10</v>
      </c>
      <c r="H30" s="13">
        <f>G30/$F$6</f>
        <v>0.10101010101010101</v>
      </c>
    </row>
    <row r="31" spans="1:8" x14ac:dyDescent="0.2">
      <c r="A31" t="s">
        <v>64</v>
      </c>
      <c r="B31" t="s">
        <v>65</v>
      </c>
      <c r="C31">
        <v>4</v>
      </c>
      <c r="D31" s="1">
        <v>41946</v>
      </c>
      <c r="F31" s="12">
        <v>2</v>
      </c>
      <c r="G31">
        <f>COUNTIF($C$2:$C$101, F31) + COUNTIF($C$2:$C$101, F31&amp;", "&amp;F32)+ COUNTIF($C$2:$C$101, F30&amp;", "&amp;F31)</f>
        <v>35</v>
      </c>
      <c r="H31" s="13">
        <f t="shared" ref="H31:H33" si="0">G31/$F$6</f>
        <v>0.35353535353535354</v>
      </c>
    </row>
    <row r="32" spans="1:8" x14ac:dyDescent="0.2">
      <c r="A32" t="s">
        <v>66</v>
      </c>
      <c r="B32" t="s">
        <v>67</v>
      </c>
      <c r="C32">
        <v>4</v>
      </c>
      <c r="D32" s="1">
        <v>41946</v>
      </c>
      <c r="F32" s="12">
        <v>3</v>
      </c>
      <c r="G32">
        <f>COUNTIF($C$2:$C$101, F32) + COUNTIF($C$2:$C$101, F32&amp;", "&amp;F33)+ COUNTIF($C$2:$C$101, F31&amp;", "&amp;F32)</f>
        <v>42</v>
      </c>
      <c r="H32" s="13">
        <f t="shared" si="0"/>
        <v>0.42424242424242425</v>
      </c>
    </row>
    <row r="33" spans="1:9" x14ac:dyDescent="0.2">
      <c r="A33" t="s">
        <v>68</v>
      </c>
      <c r="B33" t="s">
        <v>69</v>
      </c>
      <c r="C33">
        <v>4</v>
      </c>
      <c r="D33" s="1">
        <v>41946</v>
      </c>
      <c r="F33" s="12">
        <v>4</v>
      </c>
      <c r="G33">
        <f>COUNTIF($C$2:$C$101, F33) + COUNTIF($C$2:$C$101, F32&amp;", "&amp;F33)</f>
        <v>24</v>
      </c>
      <c r="H33" s="13">
        <f t="shared" si="0"/>
        <v>0.24242424242424243</v>
      </c>
    </row>
    <row r="34" spans="1:9" x14ac:dyDescent="0.2">
      <c r="A34" t="s">
        <v>70</v>
      </c>
      <c r="B34" t="s">
        <v>71</v>
      </c>
      <c r="C34">
        <v>4</v>
      </c>
      <c r="D34" s="1">
        <v>41946</v>
      </c>
      <c r="F34" s="14"/>
      <c r="G34" s="8">
        <f>SUM(G30:G33)</f>
        <v>111</v>
      </c>
      <c r="H34" s="15">
        <f>SUM(H30:H33)</f>
        <v>1.1212121212121211</v>
      </c>
      <c r="I34" t="s">
        <v>259</v>
      </c>
    </row>
    <row r="35" spans="1:9" x14ac:dyDescent="0.2">
      <c r="A35" t="s">
        <v>72</v>
      </c>
      <c r="B35" t="s">
        <v>73</v>
      </c>
      <c r="C35">
        <v>1</v>
      </c>
      <c r="D35" s="1">
        <v>41316</v>
      </c>
    </row>
    <row r="36" spans="1:9" x14ac:dyDescent="0.2">
      <c r="A36" t="s">
        <v>74</v>
      </c>
      <c r="B36" t="s">
        <v>75</v>
      </c>
      <c r="C36">
        <v>2</v>
      </c>
      <c r="D36" s="1">
        <v>41316</v>
      </c>
      <c r="F36" t="s">
        <v>261</v>
      </c>
    </row>
    <row r="37" spans="1:9" x14ac:dyDescent="0.2">
      <c r="A37" t="s">
        <v>76</v>
      </c>
      <c r="B37" t="s">
        <v>77</v>
      </c>
      <c r="C37">
        <v>2</v>
      </c>
      <c r="D37" s="1">
        <v>41316</v>
      </c>
      <c r="F37" s="9" t="s">
        <v>250</v>
      </c>
      <c r="G37" s="10" t="s">
        <v>251</v>
      </c>
      <c r="H37" s="11" t="s">
        <v>258</v>
      </c>
    </row>
    <row r="38" spans="1:9" x14ac:dyDescent="0.2">
      <c r="A38" t="s">
        <v>78</v>
      </c>
      <c r="B38" t="s">
        <v>79</v>
      </c>
      <c r="C38">
        <v>2</v>
      </c>
      <c r="D38" s="1">
        <v>41316</v>
      </c>
      <c r="F38" s="12">
        <v>1</v>
      </c>
      <c r="G38">
        <f>COUNTIF($C$3:$C$101, F38) + COUNTIF($C$3:$C$101, F38&amp;", "&amp;F39)</f>
        <v>10</v>
      </c>
      <c r="H38" s="13">
        <f>G38/$F$6</f>
        <v>0.10101010101010101</v>
      </c>
    </row>
    <row r="39" spans="1:9" x14ac:dyDescent="0.2">
      <c r="A39" t="s">
        <v>80</v>
      </c>
      <c r="B39" t="s">
        <v>81</v>
      </c>
      <c r="C39">
        <v>2</v>
      </c>
      <c r="D39" s="1">
        <v>41316</v>
      </c>
      <c r="F39" s="12">
        <v>2</v>
      </c>
      <c r="G39">
        <f>COUNTIF($C$3:$C$101, F39) + COUNTIF($C$3:$C$101, F39&amp;", "&amp;F40)</f>
        <v>34</v>
      </c>
      <c r="H39" s="13">
        <f t="shared" ref="H39:H41" si="1">G39/$F$6</f>
        <v>0.34343434343434343</v>
      </c>
    </row>
    <row r="40" spans="1:9" x14ac:dyDescent="0.2">
      <c r="A40" t="s">
        <v>82</v>
      </c>
      <c r="B40" t="s">
        <v>83</v>
      </c>
      <c r="C40" t="s">
        <v>10</v>
      </c>
      <c r="D40" s="1">
        <v>41316</v>
      </c>
      <c r="F40" s="12">
        <v>3</v>
      </c>
      <c r="G40">
        <f>COUNTIF($C$3:$C$101, F40) + COUNTIF($C$3:$C$101, F40&amp;", "&amp;F41)</f>
        <v>35</v>
      </c>
      <c r="H40" s="13">
        <f t="shared" si="1"/>
        <v>0.35353535353535354</v>
      </c>
    </row>
    <row r="41" spans="1:9" x14ac:dyDescent="0.2">
      <c r="A41" t="s">
        <v>84</v>
      </c>
      <c r="B41" t="s">
        <v>85</v>
      </c>
      <c r="C41">
        <v>3</v>
      </c>
      <c r="D41" s="1">
        <v>41316</v>
      </c>
      <c r="F41" s="12">
        <v>4</v>
      </c>
      <c r="G41">
        <f>COUNTIF($C$3:$C$101, F41)</f>
        <v>20</v>
      </c>
      <c r="H41" s="13">
        <f t="shared" si="1"/>
        <v>0.20202020202020202</v>
      </c>
    </row>
    <row r="42" spans="1:9" x14ac:dyDescent="0.2">
      <c r="A42" t="s">
        <v>86</v>
      </c>
      <c r="B42" t="s">
        <v>87</v>
      </c>
      <c r="C42">
        <v>3</v>
      </c>
      <c r="D42" s="1">
        <v>41316</v>
      </c>
      <c r="F42" s="14"/>
      <c r="G42" s="8">
        <f>SUM(G38:G41)</f>
        <v>99</v>
      </c>
      <c r="H42" s="15">
        <f>SUM(H38:H41)</f>
        <v>1</v>
      </c>
    </row>
    <row r="43" spans="1:9" x14ac:dyDescent="0.2">
      <c r="A43" t="s">
        <v>88</v>
      </c>
      <c r="B43" t="s">
        <v>89</v>
      </c>
      <c r="C43">
        <v>3</v>
      </c>
      <c r="D43" s="1">
        <v>41556</v>
      </c>
    </row>
    <row r="44" spans="1:9" x14ac:dyDescent="0.2">
      <c r="A44" t="s">
        <v>90</v>
      </c>
      <c r="B44" t="s">
        <v>91</v>
      </c>
      <c r="C44">
        <v>3</v>
      </c>
      <c r="D44" s="1">
        <v>41556</v>
      </c>
      <c r="F44" s="5">
        <f>PROB(F38:F41,H38:H41,3,4)</f>
        <v>0.55555555555555558</v>
      </c>
      <c r="G44" t="s">
        <v>260</v>
      </c>
    </row>
    <row r="45" spans="1:9" x14ac:dyDescent="0.2">
      <c r="A45" t="s">
        <v>92</v>
      </c>
      <c r="B45" t="s">
        <v>93</v>
      </c>
      <c r="C45">
        <v>3</v>
      </c>
      <c r="D45" s="1">
        <v>41556</v>
      </c>
    </row>
    <row r="46" spans="1:9" x14ac:dyDescent="0.2">
      <c r="A46" t="s">
        <v>94</v>
      </c>
      <c r="B46" t="s">
        <v>95</v>
      </c>
      <c r="C46">
        <v>3</v>
      </c>
      <c r="D46" s="1">
        <v>41556</v>
      </c>
      <c r="F46" s="7"/>
    </row>
    <row r="47" spans="1:9" x14ac:dyDescent="0.2">
      <c r="A47" t="s">
        <v>96</v>
      </c>
      <c r="B47" t="s">
        <v>97</v>
      </c>
      <c r="C47">
        <v>2</v>
      </c>
      <c r="D47" s="1">
        <v>41624</v>
      </c>
    </row>
    <row r="48" spans="1:9" x14ac:dyDescent="0.2">
      <c r="A48" t="s">
        <v>98</v>
      </c>
      <c r="B48" t="s">
        <v>99</v>
      </c>
      <c r="C48">
        <v>2</v>
      </c>
      <c r="D48" s="1">
        <v>41073</v>
      </c>
    </row>
    <row r="49" spans="1:4" x14ac:dyDescent="0.2">
      <c r="A49" t="s">
        <v>100</v>
      </c>
      <c r="B49" t="s">
        <v>101</v>
      </c>
      <c r="C49">
        <v>2</v>
      </c>
      <c r="D49" s="1">
        <v>41073</v>
      </c>
    </row>
    <row r="50" spans="1:4" x14ac:dyDescent="0.2">
      <c r="A50" t="s">
        <v>102</v>
      </c>
      <c r="B50" t="s">
        <v>103</v>
      </c>
      <c r="C50" t="s">
        <v>10</v>
      </c>
      <c r="D50" s="1">
        <v>41073</v>
      </c>
    </row>
    <row r="51" spans="1:4" x14ac:dyDescent="0.2">
      <c r="A51" t="s">
        <v>104</v>
      </c>
      <c r="B51" t="s">
        <v>105</v>
      </c>
      <c r="C51">
        <v>3</v>
      </c>
      <c r="D51" s="1">
        <v>41073</v>
      </c>
    </row>
    <row r="52" spans="1:4" x14ac:dyDescent="0.2">
      <c r="A52" t="s">
        <v>106</v>
      </c>
      <c r="B52" t="s">
        <v>107</v>
      </c>
      <c r="C52">
        <v>3</v>
      </c>
      <c r="D52" s="1">
        <v>41073</v>
      </c>
    </row>
    <row r="53" spans="1:4" x14ac:dyDescent="0.2">
      <c r="A53" t="s">
        <v>108</v>
      </c>
      <c r="B53" t="s">
        <v>109</v>
      </c>
      <c r="C53">
        <v>3</v>
      </c>
      <c r="D53" s="1">
        <v>41073</v>
      </c>
    </row>
    <row r="54" spans="1:4" x14ac:dyDescent="0.2">
      <c r="A54" t="s">
        <v>110</v>
      </c>
      <c r="B54" t="s">
        <v>111</v>
      </c>
      <c r="C54" t="s">
        <v>112</v>
      </c>
      <c r="D54" s="1">
        <v>36500</v>
      </c>
    </row>
    <row r="55" spans="1:4" x14ac:dyDescent="0.2">
      <c r="A55" t="s">
        <v>113</v>
      </c>
      <c r="B55" t="s">
        <v>114</v>
      </c>
      <c r="C55">
        <v>2</v>
      </c>
      <c r="D55" s="1">
        <v>40651</v>
      </c>
    </row>
    <row r="56" spans="1:4" x14ac:dyDescent="0.2">
      <c r="A56" t="s">
        <v>115</v>
      </c>
      <c r="B56" t="s">
        <v>116</v>
      </c>
      <c r="C56">
        <v>3</v>
      </c>
      <c r="D56" s="1">
        <v>33770</v>
      </c>
    </row>
    <row r="57" spans="1:4" x14ac:dyDescent="0.2">
      <c r="A57" t="s">
        <v>117</v>
      </c>
      <c r="B57" t="s">
        <v>118</v>
      </c>
      <c r="C57">
        <v>3</v>
      </c>
      <c r="D57" s="1">
        <v>33770</v>
      </c>
    </row>
    <row r="58" spans="1:4" x14ac:dyDescent="0.2">
      <c r="A58" t="s">
        <v>119</v>
      </c>
      <c r="B58" t="s">
        <v>120</v>
      </c>
      <c r="C58" t="s">
        <v>19</v>
      </c>
      <c r="D58" s="1">
        <v>33770</v>
      </c>
    </row>
    <row r="59" spans="1:4" x14ac:dyDescent="0.2">
      <c r="A59" t="s">
        <v>121</v>
      </c>
      <c r="B59" t="s">
        <v>122</v>
      </c>
      <c r="C59">
        <v>4</v>
      </c>
      <c r="D59" s="1">
        <v>33770</v>
      </c>
    </row>
    <row r="60" spans="1:4" x14ac:dyDescent="0.2">
      <c r="A60" t="s">
        <v>123</v>
      </c>
      <c r="B60" t="s">
        <v>124</v>
      </c>
      <c r="C60">
        <v>4</v>
      </c>
      <c r="D60" s="1">
        <v>33770</v>
      </c>
    </row>
    <row r="61" spans="1:4" x14ac:dyDescent="0.2">
      <c r="A61" t="s">
        <v>125</v>
      </c>
      <c r="B61" t="s">
        <v>126</v>
      </c>
      <c r="C61">
        <v>4</v>
      </c>
      <c r="D61" s="1">
        <v>33770</v>
      </c>
    </row>
    <row r="62" spans="1:4" x14ac:dyDescent="0.2">
      <c r="A62" t="s">
        <v>127</v>
      </c>
      <c r="B62" t="s">
        <v>128</v>
      </c>
      <c r="C62">
        <v>2</v>
      </c>
      <c r="D62" s="1">
        <v>36728</v>
      </c>
    </row>
    <row r="63" spans="1:4" x14ac:dyDescent="0.2">
      <c r="A63" t="s">
        <v>129</v>
      </c>
      <c r="B63" t="s">
        <v>130</v>
      </c>
      <c r="C63">
        <v>2</v>
      </c>
      <c r="D63" s="1">
        <v>36728</v>
      </c>
    </row>
    <row r="64" spans="1:4" x14ac:dyDescent="0.2">
      <c r="A64" t="s">
        <v>131</v>
      </c>
      <c r="B64" t="s">
        <v>132</v>
      </c>
      <c r="C64">
        <v>2</v>
      </c>
      <c r="D64" s="1">
        <v>36500</v>
      </c>
    </row>
    <row r="65" spans="1:4" x14ac:dyDescent="0.2">
      <c r="A65" t="s">
        <v>133</v>
      </c>
      <c r="B65" t="s">
        <v>134</v>
      </c>
      <c r="C65">
        <v>2</v>
      </c>
      <c r="D65" s="1">
        <v>36500</v>
      </c>
    </row>
    <row r="66" spans="1:4" x14ac:dyDescent="0.2">
      <c r="A66" t="s">
        <v>135</v>
      </c>
      <c r="B66" t="s">
        <v>136</v>
      </c>
      <c r="C66">
        <v>2</v>
      </c>
      <c r="D66" s="1">
        <v>36500</v>
      </c>
    </row>
    <row r="67" spans="1:4" x14ac:dyDescent="0.2">
      <c r="A67" t="s">
        <v>137</v>
      </c>
      <c r="B67" t="s">
        <v>138</v>
      </c>
      <c r="C67">
        <v>2</v>
      </c>
      <c r="D67" s="1">
        <v>36500</v>
      </c>
    </row>
    <row r="68" spans="1:4" x14ac:dyDescent="0.2">
      <c r="A68" t="s">
        <v>139</v>
      </c>
      <c r="B68" t="s">
        <v>140</v>
      </c>
      <c r="C68">
        <v>2</v>
      </c>
      <c r="D68" s="1">
        <v>36500</v>
      </c>
    </row>
    <row r="69" spans="1:4" x14ac:dyDescent="0.2">
      <c r="A69" t="s">
        <v>141</v>
      </c>
      <c r="B69" t="s">
        <v>142</v>
      </c>
      <c r="C69">
        <v>2</v>
      </c>
      <c r="D69" s="1">
        <v>36728</v>
      </c>
    </row>
    <row r="70" spans="1:4" x14ac:dyDescent="0.2">
      <c r="A70" t="s">
        <v>143</v>
      </c>
      <c r="B70" t="s">
        <v>144</v>
      </c>
      <c r="C70">
        <v>2</v>
      </c>
      <c r="D70" s="1">
        <v>36728</v>
      </c>
    </row>
    <row r="71" spans="1:4" x14ac:dyDescent="0.2">
      <c r="A71" t="s">
        <v>145</v>
      </c>
      <c r="B71" t="s">
        <v>146</v>
      </c>
      <c r="C71">
        <v>2</v>
      </c>
      <c r="D71" s="1">
        <v>33770</v>
      </c>
    </row>
    <row r="72" spans="1:4" x14ac:dyDescent="0.2">
      <c r="A72" t="s">
        <v>147</v>
      </c>
      <c r="B72" t="s">
        <v>148</v>
      </c>
      <c r="C72" t="s">
        <v>10</v>
      </c>
      <c r="D72" s="1">
        <v>33770</v>
      </c>
    </row>
    <row r="73" spans="1:4" x14ac:dyDescent="0.2">
      <c r="A73" t="s">
        <v>149</v>
      </c>
      <c r="B73" t="s">
        <v>150</v>
      </c>
      <c r="C73">
        <v>2</v>
      </c>
      <c r="D73" s="1">
        <v>40441</v>
      </c>
    </row>
    <row r="74" spans="1:4" x14ac:dyDescent="0.2">
      <c r="A74" t="s">
        <v>151</v>
      </c>
      <c r="B74" t="s">
        <v>152</v>
      </c>
      <c r="C74">
        <v>3</v>
      </c>
      <c r="D74" s="1">
        <v>41073</v>
      </c>
    </row>
    <row r="75" spans="1:4" x14ac:dyDescent="0.2">
      <c r="A75" t="s">
        <v>153</v>
      </c>
      <c r="B75" t="s">
        <v>154</v>
      </c>
      <c r="C75">
        <v>3</v>
      </c>
      <c r="D75" s="1">
        <v>41666</v>
      </c>
    </row>
    <row r="76" spans="1:4" x14ac:dyDescent="0.2">
      <c r="A76" t="s">
        <v>155</v>
      </c>
      <c r="B76" t="s">
        <v>156</v>
      </c>
      <c r="C76">
        <v>3</v>
      </c>
      <c r="D76" s="1">
        <v>41666</v>
      </c>
    </row>
    <row r="77" spans="1:4" x14ac:dyDescent="0.2">
      <c r="A77" t="s">
        <v>157</v>
      </c>
      <c r="B77" t="s">
        <v>158</v>
      </c>
      <c r="C77">
        <v>3</v>
      </c>
      <c r="D77" s="1">
        <v>41666</v>
      </c>
    </row>
    <row r="78" spans="1:4" x14ac:dyDescent="0.2">
      <c r="A78" t="s">
        <v>159</v>
      </c>
      <c r="B78" t="s">
        <v>160</v>
      </c>
      <c r="C78" t="s">
        <v>19</v>
      </c>
      <c r="D78" s="1">
        <v>41259</v>
      </c>
    </row>
    <row r="79" spans="1:4" x14ac:dyDescent="0.2">
      <c r="A79" t="s">
        <v>161</v>
      </c>
      <c r="B79" t="s">
        <v>162</v>
      </c>
      <c r="C79">
        <v>4</v>
      </c>
      <c r="D79" s="1">
        <v>41259</v>
      </c>
    </row>
    <row r="80" spans="1:4" x14ac:dyDescent="0.2">
      <c r="A80" t="s">
        <v>163</v>
      </c>
      <c r="B80" t="s">
        <v>164</v>
      </c>
      <c r="C80">
        <v>4</v>
      </c>
      <c r="D80" s="1">
        <v>41333</v>
      </c>
    </row>
    <row r="81" spans="1:4" x14ac:dyDescent="0.2">
      <c r="A81" t="s">
        <v>165</v>
      </c>
      <c r="B81" t="s">
        <v>166</v>
      </c>
      <c r="C81">
        <v>4</v>
      </c>
      <c r="D81" s="1">
        <v>41333</v>
      </c>
    </row>
    <row r="82" spans="1:4" x14ac:dyDescent="0.2">
      <c r="A82" t="s">
        <v>167</v>
      </c>
      <c r="B82" t="s">
        <v>168</v>
      </c>
      <c r="C82">
        <v>4</v>
      </c>
      <c r="D82" s="1">
        <v>41333</v>
      </c>
    </row>
    <row r="83" spans="1:4" x14ac:dyDescent="0.2">
      <c r="A83" t="s">
        <v>169</v>
      </c>
      <c r="B83" t="s">
        <v>170</v>
      </c>
      <c r="C83">
        <v>4</v>
      </c>
      <c r="D83" s="1">
        <v>41333</v>
      </c>
    </row>
    <row r="84" spans="1:4" x14ac:dyDescent="0.2">
      <c r="A84" t="s">
        <v>171</v>
      </c>
      <c r="B84" t="s">
        <v>172</v>
      </c>
      <c r="C84">
        <v>4</v>
      </c>
      <c r="D84" s="1">
        <v>41333</v>
      </c>
    </row>
    <row r="85" spans="1:4" x14ac:dyDescent="0.2">
      <c r="A85" t="s">
        <v>173</v>
      </c>
      <c r="B85" t="s">
        <v>174</v>
      </c>
      <c r="C85">
        <v>4</v>
      </c>
      <c r="D85" s="1">
        <v>41729</v>
      </c>
    </row>
    <row r="86" spans="1:4" x14ac:dyDescent="0.2">
      <c r="A86" t="s">
        <v>175</v>
      </c>
      <c r="B86" t="s">
        <v>176</v>
      </c>
      <c r="C86" t="s">
        <v>10</v>
      </c>
      <c r="D86" s="1">
        <v>41946</v>
      </c>
    </row>
    <row r="87" spans="1:4" x14ac:dyDescent="0.2">
      <c r="A87" t="s">
        <v>177</v>
      </c>
      <c r="B87" t="s">
        <v>178</v>
      </c>
      <c r="C87">
        <v>3</v>
      </c>
      <c r="D87" s="1">
        <v>41417</v>
      </c>
    </row>
    <row r="88" spans="1:4" x14ac:dyDescent="0.2">
      <c r="A88" t="s">
        <v>179</v>
      </c>
      <c r="B88" t="s">
        <v>180</v>
      </c>
      <c r="C88">
        <v>3</v>
      </c>
      <c r="D88" s="1">
        <v>41417</v>
      </c>
    </row>
    <row r="89" spans="1:4" x14ac:dyDescent="0.2">
      <c r="A89" t="s">
        <v>181</v>
      </c>
      <c r="B89" t="s">
        <v>182</v>
      </c>
      <c r="C89">
        <v>3</v>
      </c>
      <c r="D89" s="1">
        <v>41417</v>
      </c>
    </row>
    <row r="90" spans="1:4" x14ac:dyDescent="0.2">
      <c r="A90" t="s">
        <v>183</v>
      </c>
      <c r="B90" t="s">
        <v>184</v>
      </c>
      <c r="C90">
        <v>3</v>
      </c>
      <c r="D90" s="1">
        <v>41417</v>
      </c>
    </row>
    <row r="91" spans="1:4" x14ac:dyDescent="0.2">
      <c r="A91" t="s">
        <v>185</v>
      </c>
      <c r="B91" t="s">
        <v>186</v>
      </c>
      <c r="C91">
        <v>3</v>
      </c>
      <c r="D91" s="1">
        <v>41417</v>
      </c>
    </row>
    <row r="92" spans="1:4" x14ac:dyDescent="0.2">
      <c r="A92" t="s">
        <v>187</v>
      </c>
      <c r="B92" t="s">
        <v>188</v>
      </c>
      <c r="C92">
        <v>4</v>
      </c>
      <c r="D92" s="1">
        <v>41946</v>
      </c>
    </row>
    <row r="93" spans="1:4" x14ac:dyDescent="0.2">
      <c r="A93" t="s">
        <v>189</v>
      </c>
      <c r="B93" t="s">
        <v>190</v>
      </c>
      <c r="C93">
        <v>3</v>
      </c>
      <c r="D93" s="1">
        <v>41666</v>
      </c>
    </row>
    <row r="94" spans="1:4" x14ac:dyDescent="0.2">
      <c r="A94" t="s">
        <v>191</v>
      </c>
      <c r="B94" t="s">
        <v>192</v>
      </c>
      <c r="C94">
        <v>1</v>
      </c>
      <c r="D94" s="1">
        <v>42344</v>
      </c>
    </row>
    <row r="95" spans="1:4" x14ac:dyDescent="0.2">
      <c r="A95" t="s">
        <v>193</v>
      </c>
      <c r="B95" t="s">
        <v>194</v>
      </c>
      <c r="C95">
        <v>3</v>
      </c>
      <c r="D95" s="1">
        <v>43912</v>
      </c>
    </row>
    <row r="96" spans="1:4" x14ac:dyDescent="0.2">
      <c r="A96" t="s">
        <v>195</v>
      </c>
      <c r="B96" t="s">
        <v>196</v>
      </c>
      <c r="C96">
        <v>2</v>
      </c>
      <c r="D96" s="1">
        <v>43912</v>
      </c>
    </row>
    <row r="97" spans="1:4" x14ac:dyDescent="0.2">
      <c r="A97" t="s">
        <v>197</v>
      </c>
      <c r="B97" t="s">
        <v>198</v>
      </c>
      <c r="C97">
        <v>2</v>
      </c>
      <c r="D97" s="1">
        <v>43912</v>
      </c>
    </row>
    <row r="98" spans="1:4" x14ac:dyDescent="0.2">
      <c r="A98" t="s">
        <v>199</v>
      </c>
      <c r="B98" t="s">
        <v>200</v>
      </c>
      <c r="C98">
        <v>2</v>
      </c>
      <c r="D98" s="1">
        <v>43912</v>
      </c>
    </row>
    <row r="99" spans="1:4" x14ac:dyDescent="0.2">
      <c r="A99" t="s">
        <v>201</v>
      </c>
      <c r="B99" t="s">
        <v>202</v>
      </c>
      <c r="C99" t="s">
        <v>10</v>
      </c>
      <c r="D99" s="1">
        <v>43912</v>
      </c>
    </row>
    <row r="100" spans="1:4" x14ac:dyDescent="0.2">
      <c r="A100" t="s">
        <v>203</v>
      </c>
      <c r="B100" t="s">
        <v>204</v>
      </c>
      <c r="C100">
        <v>3</v>
      </c>
      <c r="D100" s="1">
        <v>43912</v>
      </c>
    </row>
    <row r="101" spans="1:4" x14ac:dyDescent="0.2">
      <c r="A101" t="s">
        <v>205</v>
      </c>
      <c r="B101" t="s">
        <v>206</v>
      </c>
      <c r="C101">
        <v>1</v>
      </c>
      <c r="D101" s="1">
        <v>42610</v>
      </c>
    </row>
  </sheetData>
  <autoFilter ref="A2:D101" xr:uid="{A6E20CAC-2A78-974A-BA58-DF4C82630DB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D58A7-37E2-2540-B767-A6677A082B18}">
  <dimension ref="A1:J367"/>
  <sheetViews>
    <sheetView workbookViewId="0">
      <selection activeCell="H30" sqref="H30"/>
    </sheetView>
  </sheetViews>
  <sheetFormatPr baseColWidth="10" defaultRowHeight="16" x14ac:dyDescent="0.2"/>
  <cols>
    <col min="8" max="8" width="14.1640625" customWidth="1"/>
  </cols>
  <sheetData>
    <row r="1" spans="1:10" x14ac:dyDescent="0.2">
      <c r="A1" t="s">
        <v>5</v>
      </c>
      <c r="B1" t="s">
        <v>207</v>
      </c>
      <c r="C1" t="s">
        <v>208</v>
      </c>
      <c r="D1" t="s">
        <v>209</v>
      </c>
      <c r="E1" t="s">
        <v>210</v>
      </c>
      <c r="F1" t="s">
        <v>211</v>
      </c>
    </row>
    <row r="2" spans="1:10" x14ac:dyDescent="0.2">
      <c r="A2" s="1">
        <v>45292</v>
      </c>
      <c r="B2">
        <v>0</v>
      </c>
      <c r="C2">
        <v>7.2</v>
      </c>
      <c r="D2">
        <v>15.2</v>
      </c>
      <c r="E2">
        <v>75</v>
      </c>
      <c r="F2">
        <v>994</v>
      </c>
    </row>
    <row r="3" spans="1:10" x14ac:dyDescent="0.2">
      <c r="A3" s="1">
        <v>45293</v>
      </c>
      <c r="B3">
        <v>1.6</v>
      </c>
      <c r="C3">
        <v>9.4</v>
      </c>
      <c r="D3">
        <v>8.9</v>
      </c>
      <c r="E3">
        <v>92</v>
      </c>
      <c r="F3">
        <v>973.3</v>
      </c>
      <c r="H3" s="4" t="s">
        <v>267</v>
      </c>
    </row>
    <row r="4" spans="1:10" x14ac:dyDescent="0.2">
      <c r="A4" s="1">
        <v>45294</v>
      </c>
      <c r="B4">
        <v>0.3</v>
      </c>
      <c r="C4">
        <v>7.2</v>
      </c>
      <c r="D4">
        <v>4.5999999999999996</v>
      </c>
      <c r="E4">
        <v>92</v>
      </c>
      <c r="F4">
        <v>981.3</v>
      </c>
      <c r="H4" s="4" t="s">
        <v>262</v>
      </c>
    </row>
    <row r="5" spans="1:10" x14ac:dyDescent="0.2">
      <c r="A5" s="1">
        <v>45295</v>
      </c>
      <c r="B5">
        <v>0</v>
      </c>
      <c r="C5">
        <v>7</v>
      </c>
      <c r="D5">
        <v>12.1</v>
      </c>
      <c r="E5">
        <v>87</v>
      </c>
      <c r="F5">
        <v>994.2</v>
      </c>
      <c r="H5">
        <f>COUNTIF($C$2:$C$367, "&gt;10")</f>
        <v>258</v>
      </c>
    </row>
    <row r="6" spans="1:10" x14ac:dyDescent="0.2">
      <c r="A6" s="1">
        <v>45296</v>
      </c>
      <c r="B6">
        <v>0</v>
      </c>
      <c r="C6">
        <v>5.2</v>
      </c>
      <c r="D6">
        <v>3.6</v>
      </c>
      <c r="E6">
        <v>90</v>
      </c>
      <c r="F6">
        <v>997.7</v>
      </c>
      <c r="H6" s="3"/>
    </row>
    <row r="7" spans="1:10" x14ac:dyDescent="0.2">
      <c r="A7" s="1">
        <v>45297</v>
      </c>
      <c r="B7">
        <v>0</v>
      </c>
      <c r="C7">
        <v>2.5</v>
      </c>
      <c r="D7">
        <v>1.6</v>
      </c>
      <c r="E7">
        <v>94</v>
      </c>
      <c r="F7">
        <v>1013</v>
      </c>
      <c r="H7" s="4" t="s">
        <v>263</v>
      </c>
    </row>
    <row r="8" spans="1:10" x14ac:dyDescent="0.2">
      <c r="A8" s="1">
        <v>45298</v>
      </c>
      <c r="B8">
        <v>0</v>
      </c>
      <c r="C8">
        <v>2.8</v>
      </c>
      <c r="D8">
        <v>3.5</v>
      </c>
      <c r="E8">
        <v>91</v>
      </c>
      <c r="F8">
        <v>1025</v>
      </c>
      <c r="H8">
        <f>COUNTIF($B$2:$B$367, "&gt;0")</f>
        <v>139</v>
      </c>
    </row>
    <row r="9" spans="1:10" x14ac:dyDescent="0.2">
      <c r="A9" s="1">
        <v>45299</v>
      </c>
      <c r="B9">
        <v>0</v>
      </c>
      <c r="C9">
        <v>3.4</v>
      </c>
      <c r="D9">
        <v>19.5</v>
      </c>
      <c r="E9">
        <v>64</v>
      </c>
      <c r="F9">
        <v>1030.2</v>
      </c>
    </row>
    <row r="10" spans="1:10" x14ac:dyDescent="0.2">
      <c r="A10" s="1">
        <v>45300</v>
      </c>
      <c r="B10">
        <v>0</v>
      </c>
      <c r="C10">
        <v>4.0999999999999996</v>
      </c>
      <c r="D10">
        <v>28.1</v>
      </c>
      <c r="E10">
        <v>62</v>
      </c>
      <c r="F10">
        <v>1029.7</v>
      </c>
      <c r="H10" s="4" t="s">
        <v>264</v>
      </c>
    </row>
    <row r="11" spans="1:10" x14ac:dyDescent="0.2">
      <c r="A11" s="1">
        <v>45301</v>
      </c>
      <c r="B11">
        <v>0</v>
      </c>
      <c r="C11">
        <v>6.1</v>
      </c>
      <c r="D11">
        <v>10.1</v>
      </c>
      <c r="E11">
        <v>82</v>
      </c>
      <c r="F11">
        <v>1027.7</v>
      </c>
      <c r="H11">
        <f>COUNTIF($D$2:$D$367, "&gt;10")</f>
        <v>274</v>
      </c>
    </row>
    <row r="12" spans="1:10" x14ac:dyDescent="0.2">
      <c r="A12" s="1">
        <v>45302</v>
      </c>
      <c r="B12">
        <v>0</v>
      </c>
      <c r="C12">
        <v>7.4</v>
      </c>
      <c r="D12">
        <v>16.5</v>
      </c>
      <c r="E12">
        <v>74</v>
      </c>
      <c r="F12">
        <v>1034.3</v>
      </c>
    </row>
    <row r="13" spans="1:10" x14ac:dyDescent="0.2">
      <c r="A13" s="1">
        <v>45303</v>
      </c>
      <c r="B13">
        <v>0</v>
      </c>
      <c r="C13">
        <v>6.2</v>
      </c>
      <c r="D13">
        <v>4.4000000000000004</v>
      </c>
      <c r="E13">
        <v>79</v>
      </c>
      <c r="F13">
        <v>1032</v>
      </c>
      <c r="H13" s="4" t="s">
        <v>268</v>
      </c>
    </row>
    <row r="14" spans="1:10" x14ac:dyDescent="0.2">
      <c r="A14" s="1">
        <v>45304</v>
      </c>
      <c r="B14">
        <v>0</v>
      </c>
      <c r="C14">
        <v>6.9</v>
      </c>
      <c r="D14">
        <v>8.4</v>
      </c>
      <c r="E14">
        <v>86</v>
      </c>
      <c r="F14">
        <v>1018.8</v>
      </c>
      <c r="H14" s="3"/>
      <c r="J14" t="s">
        <v>272</v>
      </c>
    </row>
    <row r="15" spans="1:10" x14ac:dyDescent="0.2">
      <c r="A15" s="1">
        <v>45305</v>
      </c>
      <c r="B15">
        <v>0</v>
      </c>
      <c r="C15">
        <v>3.8</v>
      </c>
      <c r="D15">
        <v>6.2</v>
      </c>
      <c r="E15">
        <v>89</v>
      </c>
      <c r="F15">
        <v>1006.9</v>
      </c>
      <c r="H15" t="s">
        <v>269</v>
      </c>
      <c r="I15">
        <f>COUNTIFS($C$2:$C$367,"&gt;10", $B$2:$B$367, "&gt;0")</f>
        <v>109</v>
      </c>
      <c r="J15" s="5">
        <f>I15/366</f>
        <v>0.29781420765027322</v>
      </c>
    </row>
    <row r="16" spans="1:10" x14ac:dyDescent="0.2">
      <c r="A16" s="1">
        <v>45306</v>
      </c>
      <c r="B16">
        <v>0</v>
      </c>
      <c r="C16">
        <v>1.2</v>
      </c>
      <c r="D16">
        <v>18.8</v>
      </c>
      <c r="E16">
        <v>63</v>
      </c>
      <c r="F16">
        <v>1006.5</v>
      </c>
      <c r="H16" t="s">
        <v>270</v>
      </c>
      <c r="I16">
        <f>COUNTIFS($C$2:$C$367,"&gt;10", $D$2:$D$367, "&gt;10")</f>
        <v>208</v>
      </c>
      <c r="J16" s="5">
        <f t="shared" ref="J16:J17" si="0">I16/366</f>
        <v>0.56830601092896171</v>
      </c>
    </row>
    <row r="17" spans="1:10" x14ac:dyDescent="0.2">
      <c r="A17" s="1">
        <v>45307</v>
      </c>
      <c r="B17">
        <v>0</v>
      </c>
      <c r="C17">
        <v>1.8</v>
      </c>
      <c r="D17">
        <v>14.8</v>
      </c>
      <c r="E17">
        <v>81</v>
      </c>
      <c r="F17">
        <v>998.8</v>
      </c>
      <c r="H17" t="s">
        <v>271</v>
      </c>
      <c r="I17">
        <f>COUNTIFS($B$2:$B$367, "&gt;0", $D$2:$D$367, "&gt;10")</f>
        <v>120</v>
      </c>
      <c r="J17" s="5">
        <f t="shared" si="0"/>
        <v>0.32786885245901637</v>
      </c>
    </row>
    <row r="18" spans="1:10" x14ac:dyDescent="0.2">
      <c r="A18" s="1">
        <v>45308</v>
      </c>
      <c r="B18">
        <v>0</v>
      </c>
      <c r="C18">
        <v>1.1000000000000001</v>
      </c>
      <c r="D18">
        <v>5.8</v>
      </c>
      <c r="E18">
        <v>73</v>
      </c>
      <c r="F18">
        <v>987.9</v>
      </c>
    </row>
    <row r="19" spans="1:10" x14ac:dyDescent="0.2">
      <c r="A19" s="1">
        <v>45309</v>
      </c>
      <c r="B19">
        <v>0</v>
      </c>
      <c r="C19">
        <v>1.5</v>
      </c>
      <c r="D19">
        <v>4.2</v>
      </c>
      <c r="E19">
        <v>60</v>
      </c>
      <c r="F19">
        <v>1002.7</v>
      </c>
      <c r="H19" s="4" t="s">
        <v>265</v>
      </c>
    </row>
    <row r="20" spans="1:10" x14ac:dyDescent="0.2">
      <c r="A20" s="1">
        <v>45310</v>
      </c>
      <c r="B20">
        <v>0</v>
      </c>
      <c r="C20">
        <v>5.0999999999999996</v>
      </c>
      <c r="D20">
        <v>17.399999999999999</v>
      </c>
      <c r="E20">
        <v>59</v>
      </c>
      <c r="F20">
        <v>1013</v>
      </c>
    </row>
    <row r="21" spans="1:10" x14ac:dyDescent="0.2">
      <c r="A21" s="1">
        <v>45311</v>
      </c>
      <c r="B21">
        <v>0.2</v>
      </c>
      <c r="C21">
        <v>4.9000000000000004</v>
      </c>
      <c r="D21">
        <v>24</v>
      </c>
      <c r="E21">
        <v>88</v>
      </c>
      <c r="F21">
        <v>1010.9</v>
      </c>
      <c r="H21" t="s">
        <v>269</v>
      </c>
      <c r="I21" s="5">
        <f>(H5/366) * (H8/366)</f>
        <v>0.2677147720146914</v>
      </c>
      <c r="J21" s="7">
        <f>I21-J15</f>
        <v>-3.0099435635581817E-2</v>
      </c>
    </row>
    <row r="22" spans="1:10" x14ac:dyDescent="0.2">
      <c r="A22" s="1">
        <v>45312</v>
      </c>
      <c r="B22">
        <v>0.3</v>
      </c>
      <c r="C22">
        <v>9.5</v>
      </c>
      <c r="D22">
        <v>32.799999999999997</v>
      </c>
      <c r="E22">
        <v>86</v>
      </c>
      <c r="F22">
        <v>997.5</v>
      </c>
      <c r="H22" t="s">
        <v>270</v>
      </c>
      <c r="I22" s="5">
        <f>(H5/366)*(H11/366)</f>
        <v>0.5277255218131327</v>
      </c>
      <c r="J22" s="7">
        <f t="shared" ref="J22:J23" si="1">I22-J16</f>
        <v>-4.058048911582901E-2</v>
      </c>
    </row>
    <row r="23" spans="1:10" x14ac:dyDescent="0.2">
      <c r="A23" s="1">
        <v>45313</v>
      </c>
      <c r="B23">
        <v>0.5</v>
      </c>
      <c r="C23">
        <v>8.4</v>
      </c>
      <c r="D23">
        <v>30.5</v>
      </c>
      <c r="E23">
        <v>71</v>
      </c>
      <c r="F23">
        <v>996.7</v>
      </c>
      <c r="H23" t="s">
        <v>271</v>
      </c>
      <c r="I23" s="5">
        <f>(H8/366)*(H11/366)</f>
        <v>0.28431723849622265</v>
      </c>
      <c r="J23" s="7">
        <f t="shared" si="1"/>
        <v>-4.3551613962793723E-2</v>
      </c>
    </row>
    <row r="24" spans="1:10" x14ac:dyDescent="0.2">
      <c r="A24" s="1">
        <v>45314</v>
      </c>
      <c r="B24">
        <v>0.3</v>
      </c>
      <c r="C24">
        <v>9.1</v>
      </c>
      <c r="D24">
        <v>30.6</v>
      </c>
      <c r="E24">
        <v>90</v>
      </c>
      <c r="F24">
        <v>1003.6</v>
      </c>
    </row>
    <row r="25" spans="1:10" x14ac:dyDescent="0.2">
      <c r="A25" s="1">
        <v>45315</v>
      </c>
      <c r="B25">
        <v>0</v>
      </c>
      <c r="C25">
        <v>9.6</v>
      </c>
      <c r="D25">
        <v>31.1</v>
      </c>
      <c r="E25">
        <v>71</v>
      </c>
      <c r="F25">
        <v>1016.5</v>
      </c>
      <c r="H25" s="3"/>
    </row>
    <row r="26" spans="1:10" x14ac:dyDescent="0.2">
      <c r="A26" s="1">
        <v>45316</v>
      </c>
      <c r="B26">
        <v>0</v>
      </c>
      <c r="C26">
        <v>11</v>
      </c>
      <c r="D26">
        <v>19.899999999999999</v>
      </c>
      <c r="E26">
        <v>88</v>
      </c>
      <c r="F26">
        <v>1013.8</v>
      </c>
      <c r="H26" s="4" t="s">
        <v>266</v>
      </c>
    </row>
    <row r="27" spans="1:10" x14ac:dyDescent="0.2">
      <c r="A27" s="1">
        <v>45317</v>
      </c>
      <c r="B27">
        <v>0</v>
      </c>
      <c r="C27">
        <v>7.5</v>
      </c>
      <c r="D27">
        <v>29.9</v>
      </c>
      <c r="E27">
        <v>59</v>
      </c>
      <c r="F27">
        <v>1020.9</v>
      </c>
    </row>
    <row r="28" spans="1:10" x14ac:dyDescent="0.2">
      <c r="A28" s="1">
        <v>45318</v>
      </c>
      <c r="B28">
        <v>0</v>
      </c>
      <c r="C28">
        <v>7.4</v>
      </c>
      <c r="D28">
        <v>21.2</v>
      </c>
      <c r="E28">
        <v>74</v>
      </c>
      <c r="F28">
        <v>1023.6</v>
      </c>
      <c r="H28" t="s">
        <v>273</v>
      </c>
    </row>
    <row r="29" spans="1:10" x14ac:dyDescent="0.2">
      <c r="A29" s="1">
        <v>45319</v>
      </c>
      <c r="B29">
        <v>0</v>
      </c>
      <c r="C29">
        <v>9.4</v>
      </c>
      <c r="D29">
        <v>19.2</v>
      </c>
      <c r="E29">
        <v>79</v>
      </c>
      <c r="F29">
        <v>1010.3</v>
      </c>
      <c r="H29" t="s">
        <v>274</v>
      </c>
    </row>
    <row r="30" spans="1:10" x14ac:dyDescent="0.2">
      <c r="A30" s="1">
        <v>45320</v>
      </c>
      <c r="B30">
        <v>0.9</v>
      </c>
      <c r="C30">
        <v>11.3</v>
      </c>
      <c r="D30">
        <v>19.100000000000001</v>
      </c>
      <c r="E30">
        <v>92</v>
      </c>
      <c r="F30">
        <v>1012.1</v>
      </c>
    </row>
    <row r="31" spans="1:10" x14ac:dyDescent="0.2">
      <c r="A31" s="1">
        <v>45321</v>
      </c>
      <c r="B31">
        <v>0</v>
      </c>
      <c r="C31">
        <v>6.9</v>
      </c>
      <c r="D31">
        <v>15.5</v>
      </c>
      <c r="E31">
        <v>77</v>
      </c>
      <c r="F31">
        <v>1022.9</v>
      </c>
    </row>
    <row r="32" spans="1:10" x14ac:dyDescent="0.2">
      <c r="A32" s="1">
        <v>45322</v>
      </c>
      <c r="B32">
        <v>0</v>
      </c>
      <c r="C32">
        <v>8.4</v>
      </c>
      <c r="D32">
        <v>22.4</v>
      </c>
      <c r="E32">
        <v>68</v>
      </c>
      <c r="F32">
        <v>1017.7</v>
      </c>
    </row>
    <row r="33" spans="1:6" x14ac:dyDescent="0.2">
      <c r="A33" s="1">
        <v>45323</v>
      </c>
      <c r="B33">
        <v>0</v>
      </c>
      <c r="C33">
        <v>8.1999999999999993</v>
      </c>
      <c r="D33">
        <v>19.5</v>
      </c>
      <c r="E33">
        <v>77</v>
      </c>
      <c r="F33">
        <v>1027.4000000000001</v>
      </c>
    </row>
    <row r="34" spans="1:6" x14ac:dyDescent="0.2">
      <c r="A34" s="1">
        <v>45324</v>
      </c>
      <c r="B34">
        <v>0.3</v>
      </c>
      <c r="C34">
        <v>11.2</v>
      </c>
      <c r="D34">
        <v>18</v>
      </c>
      <c r="E34">
        <v>86</v>
      </c>
      <c r="F34">
        <v>1020.4</v>
      </c>
    </row>
    <row r="35" spans="1:6" x14ac:dyDescent="0.2">
      <c r="A35" s="1">
        <v>45325</v>
      </c>
      <c r="B35">
        <v>0</v>
      </c>
      <c r="C35">
        <v>9.1999999999999993</v>
      </c>
      <c r="D35">
        <v>17</v>
      </c>
      <c r="E35">
        <v>83</v>
      </c>
      <c r="F35">
        <v>1019.3</v>
      </c>
    </row>
    <row r="36" spans="1:6" x14ac:dyDescent="0.2">
      <c r="A36" s="1">
        <v>45326</v>
      </c>
      <c r="B36">
        <v>0.1</v>
      </c>
      <c r="C36">
        <v>12.3</v>
      </c>
      <c r="D36">
        <v>28.9</v>
      </c>
      <c r="E36">
        <v>82</v>
      </c>
      <c r="F36">
        <v>1013.4</v>
      </c>
    </row>
    <row r="37" spans="1:6" x14ac:dyDescent="0.2">
      <c r="A37" s="1">
        <v>45327</v>
      </c>
      <c r="B37">
        <v>0.4</v>
      </c>
      <c r="C37">
        <v>10.199999999999999</v>
      </c>
      <c r="D37">
        <v>19.3</v>
      </c>
      <c r="E37">
        <v>82</v>
      </c>
      <c r="F37">
        <v>1009.1</v>
      </c>
    </row>
    <row r="38" spans="1:6" x14ac:dyDescent="0.2">
      <c r="A38" s="1">
        <v>45328</v>
      </c>
      <c r="B38">
        <v>2.1</v>
      </c>
      <c r="C38">
        <v>9.6999999999999993</v>
      </c>
      <c r="D38">
        <v>24.7</v>
      </c>
      <c r="E38">
        <v>92</v>
      </c>
      <c r="F38">
        <v>996.8</v>
      </c>
    </row>
    <row r="39" spans="1:6" x14ac:dyDescent="0.2">
      <c r="A39" s="1">
        <v>45329</v>
      </c>
      <c r="B39">
        <v>0</v>
      </c>
      <c r="C39">
        <v>5.2</v>
      </c>
      <c r="D39">
        <v>3.2</v>
      </c>
      <c r="E39">
        <v>74</v>
      </c>
      <c r="F39">
        <v>1001</v>
      </c>
    </row>
    <row r="40" spans="1:6" x14ac:dyDescent="0.2">
      <c r="A40" s="1">
        <v>45330</v>
      </c>
      <c r="B40">
        <v>1.5</v>
      </c>
      <c r="C40">
        <v>2.7</v>
      </c>
      <c r="D40">
        <v>35</v>
      </c>
      <c r="E40">
        <v>90</v>
      </c>
      <c r="F40">
        <v>983.8</v>
      </c>
    </row>
    <row r="41" spans="1:6" x14ac:dyDescent="0.2">
      <c r="A41" s="1">
        <v>45331</v>
      </c>
      <c r="B41">
        <v>0</v>
      </c>
      <c r="C41">
        <v>7.8</v>
      </c>
      <c r="D41">
        <v>10</v>
      </c>
      <c r="E41">
        <v>88</v>
      </c>
      <c r="F41">
        <v>968.4</v>
      </c>
    </row>
    <row r="42" spans="1:6" x14ac:dyDescent="0.2">
      <c r="A42" s="1">
        <v>45332</v>
      </c>
      <c r="B42">
        <v>0</v>
      </c>
      <c r="C42">
        <v>8.1</v>
      </c>
      <c r="D42">
        <v>6.8</v>
      </c>
      <c r="E42">
        <v>84</v>
      </c>
      <c r="F42">
        <v>977.3</v>
      </c>
    </row>
    <row r="43" spans="1:6" x14ac:dyDescent="0.2">
      <c r="A43" s="1">
        <v>45333</v>
      </c>
      <c r="B43">
        <v>0.1</v>
      </c>
      <c r="C43">
        <v>7.6</v>
      </c>
      <c r="D43">
        <v>16.2</v>
      </c>
      <c r="E43">
        <v>89</v>
      </c>
      <c r="F43">
        <v>984.8</v>
      </c>
    </row>
    <row r="44" spans="1:6" x14ac:dyDescent="0.2">
      <c r="A44" s="1">
        <v>45334</v>
      </c>
      <c r="B44">
        <v>0</v>
      </c>
      <c r="C44">
        <v>7.6</v>
      </c>
      <c r="D44">
        <v>20.9</v>
      </c>
      <c r="E44">
        <v>67</v>
      </c>
      <c r="F44">
        <v>997.8</v>
      </c>
    </row>
    <row r="45" spans="1:6" x14ac:dyDescent="0.2">
      <c r="A45" s="1">
        <v>45335</v>
      </c>
      <c r="B45">
        <v>0</v>
      </c>
      <c r="C45">
        <v>7.8</v>
      </c>
      <c r="D45">
        <v>13.7</v>
      </c>
      <c r="E45">
        <v>84</v>
      </c>
      <c r="F45">
        <v>1003.2</v>
      </c>
    </row>
    <row r="46" spans="1:6" x14ac:dyDescent="0.2">
      <c r="A46" s="1">
        <v>45336</v>
      </c>
      <c r="B46">
        <v>0.3</v>
      </c>
      <c r="C46">
        <v>12.2</v>
      </c>
      <c r="D46">
        <v>17.2</v>
      </c>
      <c r="E46">
        <v>91</v>
      </c>
      <c r="F46">
        <v>1002.1</v>
      </c>
    </row>
    <row r="47" spans="1:6" x14ac:dyDescent="0.2">
      <c r="A47" s="1">
        <v>45337</v>
      </c>
      <c r="B47">
        <v>0.7</v>
      </c>
      <c r="C47">
        <v>13.9</v>
      </c>
      <c r="D47">
        <v>18.5</v>
      </c>
      <c r="E47">
        <v>90</v>
      </c>
      <c r="F47">
        <v>999</v>
      </c>
    </row>
    <row r="48" spans="1:6" x14ac:dyDescent="0.2">
      <c r="A48" s="1">
        <v>45338</v>
      </c>
      <c r="B48">
        <v>0.1</v>
      </c>
      <c r="C48">
        <v>10.7</v>
      </c>
      <c r="D48">
        <v>16.2</v>
      </c>
      <c r="E48">
        <v>85</v>
      </c>
      <c r="F48">
        <v>1007.6</v>
      </c>
    </row>
    <row r="49" spans="1:6" x14ac:dyDescent="0.2">
      <c r="A49" s="1">
        <v>45339</v>
      </c>
      <c r="B49">
        <v>0.1</v>
      </c>
      <c r="C49">
        <v>12.8</v>
      </c>
      <c r="D49">
        <v>13.7</v>
      </c>
      <c r="E49">
        <v>87</v>
      </c>
      <c r="F49">
        <v>1019.7</v>
      </c>
    </row>
    <row r="50" spans="1:6" x14ac:dyDescent="0.2">
      <c r="A50" s="1">
        <v>45340</v>
      </c>
      <c r="B50">
        <v>0.1</v>
      </c>
      <c r="C50">
        <v>11.3</v>
      </c>
      <c r="D50">
        <v>18.3</v>
      </c>
      <c r="E50">
        <v>84</v>
      </c>
      <c r="F50">
        <v>1017.9</v>
      </c>
    </row>
    <row r="51" spans="1:6" x14ac:dyDescent="0.2">
      <c r="A51" s="1">
        <v>45341</v>
      </c>
      <c r="B51">
        <v>0.1</v>
      </c>
      <c r="C51">
        <v>10.8</v>
      </c>
      <c r="D51">
        <v>24.8</v>
      </c>
      <c r="E51">
        <v>74</v>
      </c>
      <c r="F51">
        <v>1021.6</v>
      </c>
    </row>
    <row r="52" spans="1:6" x14ac:dyDescent="0.2">
      <c r="A52" s="1">
        <v>45342</v>
      </c>
      <c r="B52">
        <v>0</v>
      </c>
      <c r="C52">
        <v>11.6</v>
      </c>
      <c r="D52">
        <v>22.7</v>
      </c>
      <c r="E52">
        <v>78</v>
      </c>
      <c r="F52">
        <v>1015</v>
      </c>
    </row>
    <row r="53" spans="1:6" x14ac:dyDescent="0.2">
      <c r="A53" s="1">
        <v>45343</v>
      </c>
      <c r="B53">
        <v>0.5</v>
      </c>
      <c r="C53">
        <v>9.9</v>
      </c>
      <c r="D53">
        <v>33.9</v>
      </c>
      <c r="E53">
        <v>89</v>
      </c>
      <c r="F53">
        <v>989.8</v>
      </c>
    </row>
    <row r="54" spans="1:6" x14ac:dyDescent="0.2">
      <c r="A54" s="1">
        <v>45344</v>
      </c>
      <c r="B54">
        <v>0.1</v>
      </c>
      <c r="C54">
        <v>7.8</v>
      </c>
      <c r="D54">
        <v>15.2</v>
      </c>
      <c r="E54">
        <v>77</v>
      </c>
      <c r="F54">
        <v>971.6</v>
      </c>
    </row>
    <row r="55" spans="1:6" x14ac:dyDescent="0.2">
      <c r="A55" s="1">
        <v>45345</v>
      </c>
      <c r="B55">
        <v>0</v>
      </c>
      <c r="C55">
        <v>7.2</v>
      </c>
      <c r="D55">
        <v>15.9</v>
      </c>
      <c r="E55">
        <v>70</v>
      </c>
      <c r="F55">
        <v>977.3</v>
      </c>
    </row>
    <row r="56" spans="1:6" x14ac:dyDescent="0.2">
      <c r="A56" s="1">
        <v>45346</v>
      </c>
      <c r="B56">
        <v>0</v>
      </c>
      <c r="C56">
        <v>6.3</v>
      </c>
      <c r="D56">
        <v>5.0999999999999996</v>
      </c>
      <c r="E56">
        <v>79</v>
      </c>
      <c r="F56">
        <v>989</v>
      </c>
    </row>
    <row r="57" spans="1:6" x14ac:dyDescent="0.2">
      <c r="A57" s="1">
        <v>45347</v>
      </c>
      <c r="B57">
        <v>0</v>
      </c>
      <c r="C57">
        <v>8.6</v>
      </c>
      <c r="D57">
        <v>18.100000000000001</v>
      </c>
      <c r="E57">
        <v>60</v>
      </c>
      <c r="F57">
        <v>990.7</v>
      </c>
    </row>
    <row r="58" spans="1:6" x14ac:dyDescent="0.2">
      <c r="A58" s="1">
        <v>45348</v>
      </c>
      <c r="B58">
        <v>0</v>
      </c>
      <c r="C58">
        <v>7.9</v>
      </c>
      <c r="D58">
        <v>24.3</v>
      </c>
      <c r="E58">
        <v>62</v>
      </c>
      <c r="F58">
        <v>1011</v>
      </c>
    </row>
    <row r="59" spans="1:6" x14ac:dyDescent="0.2">
      <c r="A59" s="1">
        <v>45349</v>
      </c>
      <c r="B59">
        <v>0.4</v>
      </c>
      <c r="C59">
        <v>6.1</v>
      </c>
      <c r="D59">
        <v>18.600000000000001</v>
      </c>
      <c r="E59">
        <v>81</v>
      </c>
      <c r="F59">
        <v>1011</v>
      </c>
    </row>
    <row r="60" spans="1:6" x14ac:dyDescent="0.2">
      <c r="A60" s="1">
        <v>45350</v>
      </c>
      <c r="B60">
        <v>0.5</v>
      </c>
      <c r="C60">
        <v>6.7</v>
      </c>
      <c r="D60">
        <v>17.3</v>
      </c>
      <c r="E60">
        <v>88</v>
      </c>
      <c r="F60">
        <v>1007.4</v>
      </c>
    </row>
    <row r="61" spans="1:6" x14ac:dyDescent="0.2">
      <c r="A61" s="1">
        <v>45351</v>
      </c>
      <c r="B61">
        <v>0</v>
      </c>
      <c r="C61">
        <v>8.9</v>
      </c>
      <c r="D61">
        <v>14.9</v>
      </c>
      <c r="E61">
        <v>68</v>
      </c>
      <c r="F61">
        <v>996.3</v>
      </c>
    </row>
    <row r="62" spans="1:6" x14ac:dyDescent="0.2">
      <c r="A62" s="1">
        <v>45352</v>
      </c>
      <c r="B62">
        <v>0.9</v>
      </c>
      <c r="C62">
        <v>3.8</v>
      </c>
      <c r="D62">
        <v>21.7</v>
      </c>
      <c r="E62">
        <v>90</v>
      </c>
      <c r="F62">
        <v>980.3</v>
      </c>
    </row>
    <row r="63" spans="1:6" x14ac:dyDescent="0.2">
      <c r="A63" s="1">
        <v>45353</v>
      </c>
      <c r="B63">
        <v>1</v>
      </c>
      <c r="C63">
        <v>3.4</v>
      </c>
      <c r="D63">
        <v>16.3</v>
      </c>
      <c r="E63">
        <v>96</v>
      </c>
      <c r="F63">
        <v>984.7</v>
      </c>
    </row>
    <row r="64" spans="1:6" x14ac:dyDescent="0.2">
      <c r="A64" s="1">
        <v>45354</v>
      </c>
      <c r="B64">
        <v>0</v>
      </c>
      <c r="C64">
        <v>6.4</v>
      </c>
      <c r="D64">
        <v>4.3</v>
      </c>
      <c r="E64">
        <v>75</v>
      </c>
      <c r="F64">
        <v>996.5</v>
      </c>
    </row>
    <row r="65" spans="1:6" x14ac:dyDescent="0.2">
      <c r="A65" s="1">
        <v>45355</v>
      </c>
      <c r="B65">
        <v>0</v>
      </c>
      <c r="C65">
        <v>9.1</v>
      </c>
      <c r="D65">
        <v>24.4</v>
      </c>
      <c r="E65">
        <v>60</v>
      </c>
      <c r="F65">
        <v>1001.1</v>
      </c>
    </row>
    <row r="66" spans="1:6" x14ac:dyDescent="0.2">
      <c r="A66" s="1">
        <v>45356</v>
      </c>
      <c r="B66">
        <v>0</v>
      </c>
      <c r="C66">
        <v>9.9</v>
      </c>
      <c r="D66">
        <v>7.6</v>
      </c>
      <c r="E66">
        <v>70</v>
      </c>
      <c r="F66">
        <v>1007.6</v>
      </c>
    </row>
    <row r="67" spans="1:6" x14ac:dyDescent="0.2">
      <c r="A67" s="1">
        <v>45357</v>
      </c>
      <c r="B67">
        <v>0.1</v>
      </c>
      <c r="C67">
        <v>10.6</v>
      </c>
      <c r="D67">
        <v>13</v>
      </c>
      <c r="E67">
        <v>62</v>
      </c>
      <c r="F67">
        <v>1015.1</v>
      </c>
    </row>
    <row r="68" spans="1:6" x14ac:dyDescent="0.2">
      <c r="A68" s="1">
        <v>45358</v>
      </c>
      <c r="B68">
        <v>0</v>
      </c>
      <c r="C68">
        <v>9.4</v>
      </c>
      <c r="D68">
        <v>22.3</v>
      </c>
      <c r="E68">
        <v>67</v>
      </c>
      <c r="F68">
        <v>1017</v>
      </c>
    </row>
    <row r="69" spans="1:6" x14ac:dyDescent="0.2">
      <c r="A69" s="1">
        <v>45359</v>
      </c>
      <c r="B69">
        <v>0</v>
      </c>
      <c r="C69">
        <v>8.4</v>
      </c>
      <c r="D69">
        <v>26.7</v>
      </c>
      <c r="E69">
        <v>60</v>
      </c>
      <c r="F69">
        <v>1004</v>
      </c>
    </row>
    <row r="70" spans="1:6" x14ac:dyDescent="0.2">
      <c r="A70" s="1">
        <v>45360</v>
      </c>
      <c r="B70">
        <v>0</v>
      </c>
      <c r="C70">
        <v>9.6999999999999993</v>
      </c>
      <c r="D70">
        <v>20.9</v>
      </c>
      <c r="E70">
        <v>75</v>
      </c>
      <c r="F70">
        <v>991.4</v>
      </c>
    </row>
    <row r="71" spans="1:6" x14ac:dyDescent="0.2">
      <c r="A71" s="1">
        <v>45361</v>
      </c>
      <c r="B71">
        <v>0.3</v>
      </c>
      <c r="C71">
        <v>8.1</v>
      </c>
      <c r="D71">
        <v>20.9</v>
      </c>
      <c r="E71">
        <v>85</v>
      </c>
      <c r="F71">
        <v>992.1</v>
      </c>
    </row>
    <row r="72" spans="1:6" x14ac:dyDescent="0.2">
      <c r="A72" s="1">
        <v>45362</v>
      </c>
      <c r="B72">
        <v>0</v>
      </c>
      <c r="C72">
        <v>8.9</v>
      </c>
      <c r="D72">
        <v>8.1999999999999993</v>
      </c>
      <c r="E72">
        <v>72</v>
      </c>
      <c r="F72">
        <v>1003</v>
      </c>
    </row>
    <row r="73" spans="1:6" x14ac:dyDescent="0.2">
      <c r="A73" s="1">
        <v>45363</v>
      </c>
      <c r="B73">
        <v>0.2</v>
      </c>
      <c r="C73">
        <v>12.1</v>
      </c>
      <c r="D73">
        <v>18.100000000000001</v>
      </c>
      <c r="E73">
        <v>81</v>
      </c>
      <c r="F73">
        <v>999.5</v>
      </c>
    </row>
    <row r="74" spans="1:6" x14ac:dyDescent="0.2">
      <c r="A74" s="1">
        <v>45364</v>
      </c>
      <c r="B74">
        <v>0.5</v>
      </c>
      <c r="C74">
        <v>12.3</v>
      </c>
      <c r="D74">
        <v>21.5</v>
      </c>
      <c r="E74">
        <v>87</v>
      </c>
      <c r="F74">
        <v>1000.3</v>
      </c>
    </row>
    <row r="75" spans="1:6" x14ac:dyDescent="0.2">
      <c r="A75" s="1">
        <v>45365</v>
      </c>
      <c r="B75">
        <v>0.1</v>
      </c>
      <c r="C75">
        <v>12.1</v>
      </c>
      <c r="D75">
        <v>17.899999999999999</v>
      </c>
      <c r="E75">
        <v>81</v>
      </c>
      <c r="F75">
        <v>996</v>
      </c>
    </row>
    <row r="76" spans="1:6" x14ac:dyDescent="0.2">
      <c r="A76" s="1">
        <v>45366</v>
      </c>
      <c r="B76">
        <v>0.2</v>
      </c>
      <c r="C76">
        <v>11.6</v>
      </c>
      <c r="D76">
        <v>25.2</v>
      </c>
      <c r="E76">
        <v>79</v>
      </c>
      <c r="F76">
        <v>994.1</v>
      </c>
    </row>
    <row r="77" spans="1:6" x14ac:dyDescent="0.2">
      <c r="A77" s="1">
        <v>45367</v>
      </c>
      <c r="B77">
        <v>0</v>
      </c>
      <c r="C77">
        <v>10.9</v>
      </c>
      <c r="D77">
        <v>13.7</v>
      </c>
      <c r="E77">
        <v>61</v>
      </c>
      <c r="F77">
        <v>1013.4</v>
      </c>
    </row>
    <row r="78" spans="1:6" x14ac:dyDescent="0.2">
      <c r="A78" s="1">
        <v>45368</v>
      </c>
      <c r="B78">
        <v>0.2</v>
      </c>
      <c r="C78">
        <v>12.9</v>
      </c>
      <c r="D78">
        <v>14.6</v>
      </c>
      <c r="E78">
        <v>85</v>
      </c>
      <c r="F78">
        <v>1004.7</v>
      </c>
    </row>
    <row r="79" spans="1:6" x14ac:dyDescent="0.2">
      <c r="A79" s="1">
        <v>45369</v>
      </c>
      <c r="B79">
        <v>0.1</v>
      </c>
      <c r="C79">
        <v>13.5</v>
      </c>
      <c r="D79">
        <v>18.3</v>
      </c>
      <c r="E79">
        <v>64</v>
      </c>
      <c r="F79">
        <v>1006.1</v>
      </c>
    </row>
    <row r="80" spans="1:6" x14ac:dyDescent="0.2">
      <c r="A80" s="1">
        <v>45370</v>
      </c>
      <c r="B80">
        <v>0</v>
      </c>
      <c r="C80">
        <v>13.6</v>
      </c>
      <c r="D80">
        <v>16.2</v>
      </c>
      <c r="E80">
        <v>63</v>
      </c>
      <c r="F80">
        <v>1007.2</v>
      </c>
    </row>
    <row r="81" spans="1:6" x14ac:dyDescent="0.2">
      <c r="A81" s="1">
        <v>45371</v>
      </c>
      <c r="B81">
        <v>0.5</v>
      </c>
      <c r="C81">
        <v>11.1</v>
      </c>
      <c r="D81">
        <v>8</v>
      </c>
      <c r="E81">
        <v>92</v>
      </c>
      <c r="F81">
        <v>1011</v>
      </c>
    </row>
    <row r="82" spans="1:6" x14ac:dyDescent="0.2">
      <c r="A82" s="1">
        <v>45372</v>
      </c>
      <c r="B82">
        <v>0</v>
      </c>
      <c r="C82">
        <v>10.1</v>
      </c>
      <c r="D82">
        <v>18.3</v>
      </c>
      <c r="E82">
        <v>77</v>
      </c>
      <c r="F82">
        <v>1016.5</v>
      </c>
    </row>
    <row r="83" spans="1:6" x14ac:dyDescent="0.2">
      <c r="A83" s="1">
        <v>45373</v>
      </c>
      <c r="B83">
        <v>0</v>
      </c>
      <c r="C83">
        <v>10.199999999999999</v>
      </c>
      <c r="D83">
        <v>27.8</v>
      </c>
      <c r="E83">
        <v>56</v>
      </c>
      <c r="F83">
        <v>1011.6</v>
      </c>
    </row>
    <row r="84" spans="1:6" x14ac:dyDescent="0.2">
      <c r="A84" s="1">
        <v>45374</v>
      </c>
      <c r="B84">
        <v>0.1</v>
      </c>
      <c r="C84">
        <v>7.3</v>
      </c>
      <c r="D84">
        <v>31</v>
      </c>
      <c r="E84">
        <v>68</v>
      </c>
      <c r="F84">
        <v>1002.1</v>
      </c>
    </row>
    <row r="85" spans="1:6" x14ac:dyDescent="0.2">
      <c r="A85" s="1">
        <v>45375</v>
      </c>
      <c r="B85">
        <v>0</v>
      </c>
      <c r="C85">
        <v>10.4</v>
      </c>
      <c r="D85">
        <v>20.8</v>
      </c>
      <c r="E85">
        <v>55</v>
      </c>
      <c r="F85">
        <v>1004.5</v>
      </c>
    </row>
    <row r="86" spans="1:6" x14ac:dyDescent="0.2">
      <c r="A86" s="1">
        <v>45376</v>
      </c>
      <c r="B86">
        <v>0.9</v>
      </c>
      <c r="C86">
        <v>7.8</v>
      </c>
      <c r="D86">
        <v>17.600000000000001</v>
      </c>
      <c r="E86">
        <v>89</v>
      </c>
      <c r="F86">
        <v>992.7</v>
      </c>
    </row>
    <row r="87" spans="1:6" x14ac:dyDescent="0.2">
      <c r="A87" s="1">
        <v>45377</v>
      </c>
      <c r="B87">
        <v>0</v>
      </c>
      <c r="C87">
        <v>11.7</v>
      </c>
      <c r="D87">
        <v>14.1</v>
      </c>
      <c r="E87">
        <v>62</v>
      </c>
      <c r="F87">
        <v>982.7</v>
      </c>
    </row>
    <row r="88" spans="1:6" x14ac:dyDescent="0.2">
      <c r="A88" s="1">
        <v>45378</v>
      </c>
      <c r="B88">
        <v>0.4</v>
      </c>
      <c r="C88">
        <v>9.8000000000000007</v>
      </c>
      <c r="D88">
        <v>33.700000000000003</v>
      </c>
      <c r="E88">
        <v>66</v>
      </c>
      <c r="F88">
        <v>970</v>
      </c>
    </row>
    <row r="89" spans="1:6" x14ac:dyDescent="0.2">
      <c r="A89" s="1">
        <v>45379</v>
      </c>
      <c r="B89">
        <v>0</v>
      </c>
      <c r="C89">
        <v>10.1</v>
      </c>
      <c r="D89">
        <v>21.9</v>
      </c>
      <c r="E89">
        <v>55</v>
      </c>
      <c r="F89">
        <v>968.6</v>
      </c>
    </row>
    <row r="90" spans="1:6" x14ac:dyDescent="0.2">
      <c r="A90" s="1">
        <v>45380</v>
      </c>
      <c r="B90">
        <v>0.1</v>
      </c>
      <c r="C90">
        <v>11.6</v>
      </c>
      <c r="D90">
        <v>21</v>
      </c>
      <c r="E90">
        <v>68</v>
      </c>
      <c r="F90">
        <v>977</v>
      </c>
    </row>
    <row r="91" spans="1:6" x14ac:dyDescent="0.2">
      <c r="A91" s="1">
        <v>45381</v>
      </c>
      <c r="B91">
        <v>0.3</v>
      </c>
      <c r="C91">
        <v>11.6</v>
      </c>
      <c r="D91">
        <v>13.8</v>
      </c>
      <c r="E91">
        <v>58</v>
      </c>
      <c r="F91">
        <v>987.8</v>
      </c>
    </row>
    <row r="92" spans="1:6" x14ac:dyDescent="0.2">
      <c r="A92" s="1">
        <v>45382</v>
      </c>
      <c r="B92">
        <v>0</v>
      </c>
      <c r="C92">
        <v>12.9</v>
      </c>
      <c r="D92">
        <v>25.6</v>
      </c>
      <c r="E92">
        <v>57</v>
      </c>
      <c r="F92">
        <v>990</v>
      </c>
    </row>
    <row r="93" spans="1:6" x14ac:dyDescent="0.2">
      <c r="A93" s="1">
        <v>45383</v>
      </c>
      <c r="B93">
        <v>0.6</v>
      </c>
      <c r="C93">
        <v>8.4</v>
      </c>
      <c r="D93">
        <v>11</v>
      </c>
      <c r="E93">
        <v>88</v>
      </c>
      <c r="F93">
        <v>987.2</v>
      </c>
    </row>
    <row r="94" spans="1:6" x14ac:dyDescent="0.2">
      <c r="A94" s="1">
        <v>45384</v>
      </c>
      <c r="B94">
        <v>0.1</v>
      </c>
      <c r="C94">
        <v>10.9</v>
      </c>
      <c r="D94">
        <v>11.8</v>
      </c>
      <c r="E94">
        <v>67</v>
      </c>
      <c r="F94">
        <v>996.6</v>
      </c>
    </row>
    <row r="95" spans="1:6" x14ac:dyDescent="0.2">
      <c r="A95" s="1">
        <v>45385</v>
      </c>
      <c r="B95">
        <v>0.2</v>
      </c>
      <c r="C95">
        <v>11.9</v>
      </c>
      <c r="D95">
        <v>14.8</v>
      </c>
      <c r="E95">
        <v>88</v>
      </c>
      <c r="F95">
        <v>987.8</v>
      </c>
    </row>
    <row r="96" spans="1:6" x14ac:dyDescent="0.2">
      <c r="A96" s="1">
        <v>45386</v>
      </c>
      <c r="B96">
        <v>0.1</v>
      </c>
      <c r="C96">
        <v>11.4</v>
      </c>
      <c r="D96">
        <v>3.8</v>
      </c>
      <c r="E96">
        <v>68</v>
      </c>
      <c r="F96">
        <v>995.6</v>
      </c>
    </row>
    <row r="97" spans="1:6" x14ac:dyDescent="0.2">
      <c r="A97" s="1">
        <v>45387</v>
      </c>
      <c r="B97">
        <v>1.2</v>
      </c>
      <c r="C97">
        <v>15.4</v>
      </c>
      <c r="D97">
        <v>31.3</v>
      </c>
      <c r="E97">
        <v>67</v>
      </c>
      <c r="F97">
        <v>991.6</v>
      </c>
    </row>
    <row r="98" spans="1:6" x14ac:dyDescent="0.2">
      <c r="A98" s="1">
        <v>45388</v>
      </c>
      <c r="B98">
        <v>0</v>
      </c>
      <c r="C98">
        <v>17.8</v>
      </c>
      <c r="D98">
        <v>38.4</v>
      </c>
      <c r="E98">
        <v>59</v>
      </c>
      <c r="F98">
        <v>988.7</v>
      </c>
    </row>
    <row r="99" spans="1:6" x14ac:dyDescent="0.2">
      <c r="A99" s="1">
        <v>45389</v>
      </c>
      <c r="B99">
        <v>0</v>
      </c>
      <c r="C99">
        <v>14.8</v>
      </c>
      <c r="D99">
        <v>36.700000000000003</v>
      </c>
      <c r="E99">
        <v>60</v>
      </c>
      <c r="F99">
        <v>994.6</v>
      </c>
    </row>
    <row r="100" spans="1:6" x14ac:dyDescent="0.2">
      <c r="A100" s="1">
        <v>45390</v>
      </c>
      <c r="B100">
        <v>0.2</v>
      </c>
      <c r="C100">
        <v>14.5</v>
      </c>
      <c r="D100">
        <v>22.1</v>
      </c>
      <c r="E100">
        <v>64</v>
      </c>
      <c r="F100">
        <v>996.2</v>
      </c>
    </row>
    <row r="101" spans="1:6" x14ac:dyDescent="0.2">
      <c r="A101" s="1">
        <v>45391</v>
      </c>
      <c r="B101">
        <v>2</v>
      </c>
      <c r="C101">
        <v>7.6</v>
      </c>
      <c r="D101">
        <v>35</v>
      </c>
      <c r="E101">
        <v>88</v>
      </c>
      <c r="F101">
        <v>997.2</v>
      </c>
    </row>
    <row r="102" spans="1:6" x14ac:dyDescent="0.2">
      <c r="A102" s="1">
        <v>45392</v>
      </c>
      <c r="B102">
        <v>1.3</v>
      </c>
      <c r="C102">
        <v>9.4</v>
      </c>
      <c r="D102">
        <v>26</v>
      </c>
      <c r="E102">
        <v>89</v>
      </c>
      <c r="F102">
        <v>1013.2</v>
      </c>
    </row>
    <row r="103" spans="1:6" x14ac:dyDescent="0.2">
      <c r="A103" s="1">
        <v>45393</v>
      </c>
      <c r="B103">
        <v>0</v>
      </c>
      <c r="C103">
        <v>16.5</v>
      </c>
      <c r="D103">
        <v>15.8</v>
      </c>
      <c r="E103">
        <v>66</v>
      </c>
      <c r="F103">
        <v>1021.2</v>
      </c>
    </row>
    <row r="104" spans="1:6" x14ac:dyDescent="0.2">
      <c r="A104" s="1">
        <v>45394</v>
      </c>
      <c r="B104">
        <v>0</v>
      </c>
      <c r="C104">
        <v>15.2</v>
      </c>
      <c r="D104">
        <v>20.399999999999999</v>
      </c>
      <c r="E104">
        <v>71</v>
      </c>
      <c r="F104">
        <v>1019.4</v>
      </c>
    </row>
    <row r="105" spans="1:6" x14ac:dyDescent="0.2">
      <c r="A105" s="1">
        <v>45395</v>
      </c>
      <c r="B105">
        <v>0</v>
      </c>
      <c r="C105">
        <v>14.2</v>
      </c>
      <c r="D105">
        <v>24.8</v>
      </c>
      <c r="E105">
        <v>74</v>
      </c>
      <c r="F105">
        <v>1011.6</v>
      </c>
    </row>
    <row r="106" spans="1:6" x14ac:dyDescent="0.2">
      <c r="A106" s="1">
        <v>45396</v>
      </c>
      <c r="B106">
        <v>0.2</v>
      </c>
      <c r="C106">
        <v>11.3</v>
      </c>
      <c r="D106">
        <v>19.5</v>
      </c>
      <c r="E106">
        <v>54</v>
      </c>
      <c r="F106">
        <v>1015.6</v>
      </c>
    </row>
    <row r="107" spans="1:6" x14ac:dyDescent="0.2">
      <c r="A107" s="1">
        <v>45397</v>
      </c>
      <c r="B107">
        <v>0.4</v>
      </c>
      <c r="C107">
        <v>8.4</v>
      </c>
      <c r="D107">
        <v>40</v>
      </c>
      <c r="E107">
        <v>64</v>
      </c>
      <c r="F107">
        <v>997.2</v>
      </c>
    </row>
    <row r="108" spans="1:6" x14ac:dyDescent="0.2">
      <c r="A108" s="1">
        <v>45398</v>
      </c>
      <c r="B108">
        <v>0</v>
      </c>
      <c r="C108">
        <v>11.6</v>
      </c>
      <c r="D108">
        <v>20.8</v>
      </c>
      <c r="E108">
        <v>59</v>
      </c>
      <c r="F108">
        <v>1008.6</v>
      </c>
    </row>
    <row r="109" spans="1:6" x14ac:dyDescent="0.2">
      <c r="A109" s="1">
        <v>45399</v>
      </c>
      <c r="B109">
        <v>0</v>
      </c>
      <c r="C109">
        <v>9.4</v>
      </c>
      <c r="D109">
        <v>25.8</v>
      </c>
      <c r="E109">
        <v>53</v>
      </c>
      <c r="F109">
        <v>1010.3</v>
      </c>
    </row>
    <row r="110" spans="1:6" x14ac:dyDescent="0.2">
      <c r="A110" s="1">
        <v>45400</v>
      </c>
      <c r="B110">
        <v>0</v>
      </c>
      <c r="C110">
        <v>10</v>
      </c>
      <c r="D110">
        <v>23.1</v>
      </c>
      <c r="E110">
        <v>58</v>
      </c>
      <c r="F110">
        <v>1016.1</v>
      </c>
    </row>
    <row r="111" spans="1:6" x14ac:dyDescent="0.2">
      <c r="A111" s="1">
        <v>45401</v>
      </c>
      <c r="B111">
        <v>0</v>
      </c>
      <c r="C111">
        <v>12.4</v>
      </c>
      <c r="D111">
        <v>22.7</v>
      </c>
      <c r="E111">
        <v>65</v>
      </c>
      <c r="F111">
        <v>1011.8</v>
      </c>
    </row>
    <row r="112" spans="1:6" x14ac:dyDescent="0.2">
      <c r="A112" s="1">
        <v>45402</v>
      </c>
      <c r="B112">
        <v>0</v>
      </c>
      <c r="C112">
        <v>11.8</v>
      </c>
      <c r="D112">
        <v>13.8</v>
      </c>
      <c r="E112">
        <v>49</v>
      </c>
      <c r="F112">
        <v>1023.7</v>
      </c>
    </row>
    <row r="113" spans="1:6" x14ac:dyDescent="0.2">
      <c r="A113" s="1">
        <v>45403</v>
      </c>
      <c r="B113">
        <v>0</v>
      </c>
      <c r="C113">
        <v>9.4</v>
      </c>
      <c r="D113">
        <v>13.2</v>
      </c>
      <c r="E113">
        <v>56</v>
      </c>
      <c r="F113">
        <v>1027</v>
      </c>
    </row>
    <row r="114" spans="1:6" x14ac:dyDescent="0.2">
      <c r="A114" s="1">
        <v>45404</v>
      </c>
      <c r="B114">
        <v>0</v>
      </c>
      <c r="C114">
        <v>10.8</v>
      </c>
      <c r="D114">
        <v>4.8</v>
      </c>
      <c r="E114">
        <v>82</v>
      </c>
      <c r="F114">
        <v>1021.4</v>
      </c>
    </row>
    <row r="115" spans="1:6" x14ac:dyDescent="0.2">
      <c r="A115" s="1">
        <v>45405</v>
      </c>
      <c r="B115">
        <v>0</v>
      </c>
      <c r="C115">
        <v>10.4</v>
      </c>
      <c r="D115">
        <v>15.4</v>
      </c>
      <c r="E115">
        <v>55</v>
      </c>
      <c r="F115">
        <v>1019</v>
      </c>
    </row>
    <row r="116" spans="1:6" x14ac:dyDescent="0.2">
      <c r="A116" s="1">
        <v>45406</v>
      </c>
      <c r="B116">
        <v>0</v>
      </c>
      <c r="C116">
        <v>9.6999999999999993</v>
      </c>
      <c r="D116">
        <v>11</v>
      </c>
      <c r="E116">
        <v>50</v>
      </c>
      <c r="F116">
        <v>1011.7</v>
      </c>
    </row>
    <row r="117" spans="1:6" x14ac:dyDescent="0.2">
      <c r="A117" s="1">
        <v>45407</v>
      </c>
      <c r="B117">
        <v>0.1</v>
      </c>
      <c r="C117">
        <v>10.1</v>
      </c>
      <c r="D117">
        <v>10.7</v>
      </c>
      <c r="E117">
        <v>63</v>
      </c>
      <c r="F117">
        <v>996.8</v>
      </c>
    </row>
    <row r="118" spans="1:6" x14ac:dyDescent="0.2">
      <c r="A118" s="1">
        <v>45408</v>
      </c>
      <c r="B118">
        <v>0.2</v>
      </c>
      <c r="C118">
        <v>10.1</v>
      </c>
      <c r="D118">
        <v>7.9</v>
      </c>
      <c r="E118">
        <v>47</v>
      </c>
      <c r="F118">
        <v>999.1</v>
      </c>
    </row>
    <row r="119" spans="1:6" x14ac:dyDescent="0.2">
      <c r="A119" s="1">
        <v>45409</v>
      </c>
      <c r="B119">
        <v>0</v>
      </c>
      <c r="C119">
        <v>10.4</v>
      </c>
      <c r="D119">
        <v>16.3</v>
      </c>
      <c r="E119">
        <v>57</v>
      </c>
      <c r="F119">
        <v>1000.2</v>
      </c>
    </row>
    <row r="120" spans="1:6" x14ac:dyDescent="0.2">
      <c r="A120" s="1">
        <v>45410</v>
      </c>
      <c r="B120">
        <v>0.2</v>
      </c>
      <c r="C120">
        <v>9.3000000000000007</v>
      </c>
      <c r="D120">
        <v>20.100000000000001</v>
      </c>
      <c r="E120">
        <v>67</v>
      </c>
      <c r="F120">
        <v>998</v>
      </c>
    </row>
    <row r="121" spans="1:6" x14ac:dyDescent="0.2">
      <c r="A121" s="1">
        <v>45411</v>
      </c>
      <c r="B121">
        <v>0.2</v>
      </c>
      <c r="C121">
        <v>12.4</v>
      </c>
      <c r="D121">
        <v>28.1</v>
      </c>
      <c r="E121">
        <v>64</v>
      </c>
      <c r="F121">
        <v>1004</v>
      </c>
    </row>
    <row r="122" spans="1:6" x14ac:dyDescent="0.2">
      <c r="A122" s="1">
        <v>45412</v>
      </c>
      <c r="B122">
        <v>0</v>
      </c>
      <c r="C122">
        <v>15.8</v>
      </c>
      <c r="D122">
        <v>26.1</v>
      </c>
      <c r="E122">
        <v>57</v>
      </c>
      <c r="F122">
        <v>1002.3</v>
      </c>
    </row>
    <row r="123" spans="1:6" x14ac:dyDescent="0.2">
      <c r="A123" s="1">
        <v>45413</v>
      </c>
      <c r="B123">
        <v>0.1</v>
      </c>
      <c r="C123">
        <v>16.899999999999999</v>
      </c>
      <c r="D123">
        <v>3.7</v>
      </c>
      <c r="E123">
        <v>62</v>
      </c>
      <c r="F123">
        <v>1004</v>
      </c>
    </row>
    <row r="124" spans="1:6" x14ac:dyDescent="0.2">
      <c r="A124" s="1">
        <v>45414</v>
      </c>
      <c r="B124">
        <v>0</v>
      </c>
      <c r="C124">
        <v>18.600000000000001</v>
      </c>
      <c r="D124">
        <v>31.7</v>
      </c>
      <c r="E124">
        <v>66</v>
      </c>
      <c r="F124">
        <v>995.9</v>
      </c>
    </row>
    <row r="125" spans="1:6" x14ac:dyDescent="0.2">
      <c r="A125" s="1">
        <v>45415</v>
      </c>
      <c r="B125">
        <v>0</v>
      </c>
      <c r="C125">
        <v>13.8</v>
      </c>
      <c r="D125">
        <v>9.9</v>
      </c>
      <c r="E125">
        <v>76</v>
      </c>
      <c r="F125">
        <v>1001</v>
      </c>
    </row>
    <row r="126" spans="1:6" x14ac:dyDescent="0.2">
      <c r="A126" s="1">
        <v>45416</v>
      </c>
      <c r="B126">
        <v>0.1</v>
      </c>
      <c r="C126">
        <v>12.1</v>
      </c>
      <c r="D126">
        <v>15.6</v>
      </c>
      <c r="E126">
        <v>83</v>
      </c>
      <c r="F126">
        <v>1003.9</v>
      </c>
    </row>
    <row r="127" spans="1:6" x14ac:dyDescent="0.2">
      <c r="A127" s="1">
        <v>45417</v>
      </c>
      <c r="B127">
        <v>0</v>
      </c>
      <c r="C127">
        <v>17.399999999999999</v>
      </c>
      <c r="D127">
        <v>4.3</v>
      </c>
      <c r="E127">
        <v>53</v>
      </c>
      <c r="F127">
        <v>1001.3</v>
      </c>
    </row>
    <row r="128" spans="1:6" x14ac:dyDescent="0.2">
      <c r="A128" s="1">
        <v>45418</v>
      </c>
      <c r="B128">
        <v>0</v>
      </c>
      <c r="C128">
        <v>17.600000000000001</v>
      </c>
      <c r="D128">
        <v>6.9</v>
      </c>
      <c r="E128">
        <v>66</v>
      </c>
      <c r="F128">
        <v>1003.2</v>
      </c>
    </row>
    <row r="129" spans="1:6" x14ac:dyDescent="0.2">
      <c r="A129" s="1">
        <v>45419</v>
      </c>
      <c r="B129">
        <v>0</v>
      </c>
      <c r="C129">
        <v>17.2</v>
      </c>
      <c r="D129">
        <v>9.9</v>
      </c>
      <c r="E129">
        <v>64</v>
      </c>
      <c r="F129">
        <v>1017.9</v>
      </c>
    </row>
    <row r="130" spans="1:6" x14ac:dyDescent="0.2">
      <c r="A130" s="1">
        <v>45420</v>
      </c>
      <c r="B130">
        <v>0.2</v>
      </c>
      <c r="C130">
        <v>18</v>
      </c>
      <c r="D130">
        <v>14.8</v>
      </c>
      <c r="E130">
        <v>67</v>
      </c>
      <c r="F130">
        <v>1021.9</v>
      </c>
    </row>
    <row r="131" spans="1:6" x14ac:dyDescent="0.2">
      <c r="A131" s="1">
        <v>45421</v>
      </c>
      <c r="B131">
        <v>0</v>
      </c>
      <c r="C131">
        <v>17.3</v>
      </c>
      <c r="D131">
        <v>5.6</v>
      </c>
      <c r="E131">
        <v>68</v>
      </c>
      <c r="F131">
        <v>1020.8</v>
      </c>
    </row>
    <row r="132" spans="1:6" x14ac:dyDescent="0.2">
      <c r="A132" s="1">
        <v>45422</v>
      </c>
      <c r="B132">
        <v>0</v>
      </c>
      <c r="C132">
        <v>21.4</v>
      </c>
      <c r="D132">
        <v>7.8</v>
      </c>
      <c r="E132">
        <v>59</v>
      </c>
      <c r="F132">
        <v>1018</v>
      </c>
    </row>
    <row r="133" spans="1:6" x14ac:dyDescent="0.2">
      <c r="A133" s="1">
        <v>45423</v>
      </c>
      <c r="B133">
        <v>0</v>
      </c>
      <c r="C133">
        <v>21.1</v>
      </c>
      <c r="D133">
        <v>13.3</v>
      </c>
      <c r="E133">
        <v>52</v>
      </c>
      <c r="F133">
        <v>1015.3</v>
      </c>
    </row>
    <row r="134" spans="1:6" x14ac:dyDescent="0.2">
      <c r="A134" s="1">
        <v>45424</v>
      </c>
      <c r="B134">
        <v>0</v>
      </c>
      <c r="C134">
        <v>22</v>
      </c>
      <c r="D134">
        <v>17.5</v>
      </c>
      <c r="E134">
        <v>58</v>
      </c>
      <c r="F134">
        <v>1006.6</v>
      </c>
    </row>
    <row r="135" spans="1:6" x14ac:dyDescent="0.2">
      <c r="A135" s="1">
        <v>45425</v>
      </c>
      <c r="B135">
        <v>0</v>
      </c>
      <c r="C135">
        <v>18.899999999999999</v>
      </c>
      <c r="D135">
        <v>27.2</v>
      </c>
      <c r="E135">
        <v>57</v>
      </c>
      <c r="F135">
        <v>998.3</v>
      </c>
    </row>
    <row r="136" spans="1:6" x14ac:dyDescent="0.2">
      <c r="A136" s="1">
        <v>45426</v>
      </c>
      <c r="B136">
        <v>0.1</v>
      </c>
      <c r="C136">
        <v>16.5</v>
      </c>
      <c r="D136">
        <v>13.9</v>
      </c>
      <c r="E136">
        <v>81</v>
      </c>
      <c r="F136">
        <v>993.6</v>
      </c>
    </row>
    <row r="137" spans="1:6" x14ac:dyDescent="0.2">
      <c r="A137" s="1">
        <v>45427</v>
      </c>
      <c r="B137">
        <v>0.3</v>
      </c>
      <c r="C137">
        <v>16.7</v>
      </c>
      <c r="D137">
        <v>11.6</v>
      </c>
      <c r="E137">
        <v>74</v>
      </c>
      <c r="F137">
        <v>999.3</v>
      </c>
    </row>
    <row r="138" spans="1:6" x14ac:dyDescent="0.2">
      <c r="A138" s="1">
        <v>45428</v>
      </c>
      <c r="B138">
        <v>0.5</v>
      </c>
      <c r="C138">
        <v>16.399999999999999</v>
      </c>
      <c r="D138">
        <v>9.5</v>
      </c>
      <c r="E138">
        <v>75</v>
      </c>
      <c r="F138">
        <v>999.6</v>
      </c>
    </row>
    <row r="139" spans="1:6" x14ac:dyDescent="0.2">
      <c r="A139" s="1">
        <v>45429</v>
      </c>
      <c r="B139">
        <v>0</v>
      </c>
      <c r="C139">
        <v>19.100000000000001</v>
      </c>
      <c r="D139">
        <v>8.1999999999999993</v>
      </c>
      <c r="E139">
        <v>59</v>
      </c>
      <c r="F139">
        <v>1004.6</v>
      </c>
    </row>
    <row r="140" spans="1:6" x14ac:dyDescent="0.2">
      <c r="A140" s="1">
        <v>45430</v>
      </c>
      <c r="B140">
        <v>0</v>
      </c>
      <c r="C140">
        <v>20.399999999999999</v>
      </c>
      <c r="D140">
        <v>13.2</v>
      </c>
      <c r="E140">
        <v>63</v>
      </c>
      <c r="F140">
        <v>1009.2</v>
      </c>
    </row>
    <row r="141" spans="1:6" x14ac:dyDescent="0.2">
      <c r="A141" s="1">
        <v>45431</v>
      </c>
      <c r="B141">
        <v>0</v>
      </c>
      <c r="C141">
        <v>19.899999999999999</v>
      </c>
      <c r="D141">
        <v>13.9</v>
      </c>
      <c r="E141">
        <v>49</v>
      </c>
      <c r="F141">
        <v>1010.8</v>
      </c>
    </row>
    <row r="142" spans="1:6" x14ac:dyDescent="0.2">
      <c r="A142" s="1">
        <v>45432</v>
      </c>
      <c r="B142">
        <v>0</v>
      </c>
      <c r="C142">
        <v>17.899999999999999</v>
      </c>
      <c r="D142">
        <v>10.6</v>
      </c>
      <c r="E142">
        <v>61</v>
      </c>
      <c r="F142">
        <v>1009.9</v>
      </c>
    </row>
    <row r="143" spans="1:6" x14ac:dyDescent="0.2">
      <c r="A143" s="1">
        <v>45433</v>
      </c>
      <c r="B143">
        <v>0</v>
      </c>
      <c r="C143">
        <v>17.3</v>
      </c>
      <c r="D143">
        <v>6.7</v>
      </c>
      <c r="E143">
        <v>62</v>
      </c>
      <c r="F143">
        <v>1004.8</v>
      </c>
    </row>
    <row r="144" spans="1:6" x14ac:dyDescent="0.2">
      <c r="A144" s="1">
        <v>45434</v>
      </c>
      <c r="B144">
        <v>2.1</v>
      </c>
      <c r="C144">
        <v>14.3</v>
      </c>
      <c r="D144">
        <v>14.5</v>
      </c>
      <c r="E144">
        <v>91</v>
      </c>
      <c r="F144">
        <v>999</v>
      </c>
    </row>
    <row r="145" spans="1:6" x14ac:dyDescent="0.2">
      <c r="A145" s="1">
        <v>45435</v>
      </c>
      <c r="B145">
        <v>0.3</v>
      </c>
      <c r="C145">
        <v>12.2</v>
      </c>
      <c r="D145">
        <v>27.4</v>
      </c>
      <c r="E145">
        <v>84</v>
      </c>
      <c r="F145">
        <v>1004.8</v>
      </c>
    </row>
    <row r="146" spans="1:6" x14ac:dyDescent="0.2">
      <c r="A146" s="1">
        <v>45436</v>
      </c>
      <c r="B146">
        <v>0.1</v>
      </c>
      <c r="C146">
        <v>13.4</v>
      </c>
      <c r="D146">
        <v>9.5</v>
      </c>
      <c r="E146">
        <v>74</v>
      </c>
      <c r="F146">
        <v>1012.2</v>
      </c>
    </row>
    <row r="147" spans="1:6" x14ac:dyDescent="0.2">
      <c r="A147" s="1">
        <v>45437</v>
      </c>
      <c r="B147">
        <v>0</v>
      </c>
      <c r="C147">
        <v>18</v>
      </c>
      <c r="D147">
        <v>16.899999999999999</v>
      </c>
      <c r="E147">
        <v>55</v>
      </c>
      <c r="F147">
        <v>1010.9</v>
      </c>
    </row>
    <row r="148" spans="1:6" x14ac:dyDescent="0.2">
      <c r="A148" s="1">
        <v>45438</v>
      </c>
      <c r="B148">
        <v>0.4</v>
      </c>
      <c r="C148">
        <v>14.9</v>
      </c>
      <c r="D148">
        <v>9.1999999999999993</v>
      </c>
      <c r="E148">
        <v>81</v>
      </c>
      <c r="F148">
        <v>1002.8</v>
      </c>
    </row>
    <row r="149" spans="1:6" x14ac:dyDescent="0.2">
      <c r="A149" s="1">
        <v>45439</v>
      </c>
      <c r="B149">
        <v>0.1</v>
      </c>
      <c r="C149">
        <v>13.8</v>
      </c>
      <c r="D149">
        <v>11.6</v>
      </c>
      <c r="E149">
        <v>74</v>
      </c>
      <c r="F149">
        <v>1006.6</v>
      </c>
    </row>
    <row r="150" spans="1:6" x14ac:dyDescent="0.2">
      <c r="A150" s="1">
        <v>45440</v>
      </c>
      <c r="B150">
        <v>0</v>
      </c>
      <c r="C150">
        <v>15</v>
      </c>
      <c r="D150">
        <v>23.3</v>
      </c>
      <c r="E150">
        <v>85</v>
      </c>
      <c r="F150">
        <v>1001.3</v>
      </c>
    </row>
    <row r="151" spans="1:6" x14ac:dyDescent="0.2">
      <c r="A151" s="1">
        <v>45441</v>
      </c>
      <c r="B151">
        <v>0.4</v>
      </c>
      <c r="C151">
        <v>15.1</v>
      </c>
      <c r="D151">
        <v>21.9</v>
      </c>
      <c r="E151">
        <v>74</v>
      </c>
      <c r="F151">
        <v>1002</v>
      </c>
    </row>
    <row r="152" spans="1:6" x14ac:dyDescent="0.2">
      <c r="A152" s="1">
        <v>45442</v>
      </c>
      <c r="B152">
        <v>0</v>
      </c>
      <c r="C152">
        <v>16.899999999999999</v>
      </c>
      <c r="D152">
        <v>20.100000000000001</v>
      </c>
      <c r="E152">
        <v>68</v>
      </c>
      <c r="F152">
        <v>1005.3</v>
      </c>
    </row>
    <row r="153" spans="1:6" x14ac:dyDescent="0.2">
      <c r="A153" s="1">
        <v>45443</v>
      </c>
      <c r="B153">
        <v>0</v>
      </c>
      <c r="C153">
        <v>17</v>
      </c>
      <c r="D153">
        <v>16.100000000000001</v>
      </c>
      <c r="E153">
        <v>56</v>
      </c>
      <c r="F153">
        <v>1016.3</v>
      </c>
    </row>
    <row r="154" spans="1:6" x14ac:dyDescent="0.2">
      <c r="A154" s="1">
        <v>45444</v>
      </c>
      <c r="B154">
        <v>0</v>
      </c>
      <c r="C154">
        <v>17</v>
      </c>
      <c r="D154">
        <v>14.9</v>
      </c>
      <c r="E154">
        <v>59</v>
      </c>
      <c r="F154">
        <v>1021.8</v>
      </c>
    </row>
    <row r="155" spans="1:6" x14ac:dyDescent="0.2">
      <c r="A155" s="1">
        <v>45445</v>
      </c>
      <c r="B155">
        <v>0</v>
      </c>
      <c r="C155">
        <v>16.399999999999999</v>
      </c>
      <c r="D155">
        <v>18.8</v>
      </c>
      <c r="E155">
        <v>64</v>
      </c>
      <c r="F155">
        <v>1022.4</v>
      </c>
    </row>
    <row r="156" spans="1:6" x14ac:dyDescent="0.2">
      <c r="A156" s="1">
        <v>45446</v>
      </c>
      <c r="B156">
        <v>0.1</v>
      </c>
      <c r="C156">
        <v>16.5</v>
      </c>
      <c r="D156">
        <v>17.7</v>
      </c>
      <c r="E156">
        <v>76</v>
      </c>
      <c r="F156">
        <v>1015.5</v>
      </c>
    </row>
    <row r="157" spans="1:6" x14ac:dyDescent="0.2">
      <c r="A157" s="1">
        <v>45447</v>
      </c>
      <c r="B157">
        <v>0.5</v>
      </c>
      <c r="C157">
        <v>13.9</v>
      </c>
      <c r="D157">
        <v>19.3</v>
      </c>
      <c r="E157">
        <v>86</v>
      </c>
      <c r="F157">
        <v>1001.6</v>
      </c>
    </row>
    <row r="158" spans="1:6" x14ac:dyDescent="0.2">
      <c r="A158" s="1">
        <v>45448</v>
      </c>
      <c r="B158">
        <v>0.2</v>
      </c>
      <c r="C158">
        <v>12.5</v>
      </c>
      <c r="D158">
        <v>26.8</v>
      </c>
      <c r="E158">
        <v>58</v>
      </c>
      <c r="F158">
        <v>1007</v>
      </c>
    </row>
    <row r="159" spans="1:6" x14ac:dyDescent="0.2">
      <c r="A159" s="1">
        <v>45449</v>
      </c>
      <c r="B159">
        <v>0</v>
      </c>
      <c r="C159">
        <v>14.4</v>
      </c>
      <c r="D159">
        <v>19.2</v>
      </c>
      <c r="E159">
        <v>55</v>
      </c>
      <c r="F159">
        <v>1011</v>
      </c>
    </row>
    <row r="160" spans="1:6" x14ac:dyDescent="0.2">
      <c r="A160" s="1">
        <v>45450</v>
      </c>
      <c r="B160">
        <v>0.1</v>
      </c>
      <c r="C160">
        <v>14.4</v>
      </c>
      <c r="D160">
        <v>20.2</v>
      </c>
      <c r="E160">
        <v>66</v>
      </c>
      <c r="F160">
        <v>1010.5</v>
      </c>
    </row>
    <row r="161" spans="1:6" x14ac:dyDescent="0.2">
      <c r="A161" s="1">
        <v>45451</v>
      </c>
      <c r="B161">
        <v>0.2</v>
      </c>
      <c r="C161">
        <v>14.1</v>
      </c>
      <c r="D161">
        <v>23.8</v>
      </c>
      <c r="E161">
        <v>60</v>
      </c>
      <c r="F161">
        <v>1006.6</v>
      </c>
    </row>
    <row r="162" spans="1:6" x14ac:dyDescent="0.2">
      <c r="A162" s="1">
        <v>45452</v>
      </c>
      <c r="B162">
        <v>0.2</v>
      </c>
      <c r="C162">
        <v>11.1</v>
      </c>
      <c r="D162">
        <v>20</v>
      </c>
      <c r="E162">
        <v>79</v>
      </c>
      <c r="F162">
        <v>1006.4</v>
      </c>
    </row>
    <row r="163" spans="1:6" x14ac:dyDescent="0.2">
      <c r="A163" s="1">
        <v>45453</v>
      </c>
      <c r="B163">
        <v>0</v>
      </c>
      <c r="C163">
        <v>14.5</v>
      </c>
      <c r="D163">
        <v>17.5</v>
      </c>
      <c r="E163">
        <v>57</v>
      </c>
      <c r="F163">
        <v>1007.3</v>
      </c>
    </row>
    <row r="164" spans="1:6" x14ac:dyDescent="0.2">
      <c r="A164" s="1">
        <v>45454</v>
      </c>
      <c r="B164">
        <v>0.1</v>
      </c>
      <c r="C164">
        <v>12.7</v>
      </c>
      <c r="D164">
        <v>12.2</v>
      </c>
      <c r="E164">
        <v>65</v>
      </c>
      <c r="F164">
        <v>1013.4</v>
      </c>
    </row>
    <row r="165" spans="1:6" x14ac:dyDescent="0.2">
      <c r="A165" s="1">
        <v>45455</v>
      </c>
      <c r="B165">
        <v>0.1</v>
      </c>
      <c r="C165">
        <v>13.1</v>
      </c>
      <c r="D165">
        <v>16</v>
      </c>
      <c r="E165">
        <v>62</v>
      </c>
      <c r="F165">
        <v>1015.2</v>
      </c>
    </row>
    <row r="166" spans="1:6" x14ac:dyDescent="0.2">
      <c r="A166" s="1">
        <v>45456</v>
      </c>
      <c r="B166">
        <v>0</v>
      </c>
      <c r="C166">
        <v>14.1</v>
      </c>
      <c r="D166">
        <v>20.9</v>
      </c>
      <c r="E166">
        <v>64</v>
      </c>
      <c r="F166">
        <v>1003.8</v>
      </c>
    </row>
    <row r="167" spans="1:6" x14ac:dyDescent="0.2">
      <c r="A167" s="1">
        <v>45457</v>
      </c>
      <c r="B167">
        <v>0.8</v>
      </c>
      <c r="C167">
        <v>15</v>
      </c>
      <c r="D167">
        <v>17.5</v>
      </c>
      <c r="E167">
        <v>76</v>
      </c>
      <c r="F167">
        <v>992</v>
      </c>
    </row>
    <row r="168" spans="1:6" x14ac:dyDescent="0.2">
      <c r="A168" s="1">
        <v>45458</v>
      </c>
      <c r="B168">
        <v>0.6</v>
      </c>
      <c r="C168">
        <v>11.6</v>
      </c>
      <c r="D168">
        <v>13.7</v>
      </c>
      <c r="E168">
        <v>84</v>
      </c>
      <c r="F168">
        <v>990.6</v>
      </c>
    </row>
    <row r="169" spans="1:6" x14ac:dyDescent="0.2">
      <c r="A169" s="1">
        <v>45459</v>
      </c>
      <c r="B169">
        <v>0.2</v>
      </c>
      <c r="C169">
        <v>16</v>
      </c>
      <c r="D169">
        <v>17.399999999999999</v>
      </c>
      <c r="E169">
        <v>70</v>
      </c>
      <c r="F169">
        <v>994.9</v>
      </c>
    </row>
    <row r="170" spans="1:6" x14ac:dyDescent="0.2">
      <c r="A170" s="1">
        <v>45460</v>
      </c>
      <c r="B170">
        <v>0.4</v>
      </c>
      <c r="C170">
        <v>16</v>
      </c>
      <c r="D170">
        <v>19.3</v>
      </c>
      <c r="E170">
        <v>69</v>
      </c>
      <c r="F170">
        <v>1003.6</v>
      </c>
    </row>
    <row r="171" spans="1:6" x14ac:dyDescent="0.2">
      <c r="A171" s="1">
        <v>45461</v>
      </c>
      <c r="B171">
        <v>0.1</v>
      </c>
      <c r="C171">
        <v>16.5</v>
      </c>
      <c r="D171">
        <v>9.5</v>
      </c>
      <c r="E171">
        <v>67</v>
      </c>
      <c r="F171">
        <v>1009.7</v>
      </c>
    </row>
    <row r="172" spans="1:6" x14ac:dyDescent="0.2">
      <c r="A172" s="1">
        <v>45462</v>
      </c>
      <c r="B172">
        <v>0</v>
      </c>
      <c r="C172">
        <v>16.8</v>
      </c>
      <c r="D172">
        <v>0</v>
      </c>
      <c r="E172">
        <v>59</v>
      </c>
      <c r="F172">
        <v>1017.7</v>
      </c>
    </row>
    <row r="173" spans="1:6" x14ac:dyDescent="0.2">
      <c r="A173" s="1">
        <v>45463</v>
      </c>
      <c r="B173">
        <v>0</v>
      </c>
      <c r="C173">
        <v>18.5</v>
      </c>
      <c r="D173">
        <v>6.7</v>
      </c>
      <c r="E173">
        <v>65</v>
      </c>
      <c r="F173">
        <v>1014.8</v>
      </c>
    </row>
    <row r="174" spans="1:6" x14ac:dyDescent="0.2">
      <c r="A174" s="1">
        <v>45464</v>
      </c>
      <c r="B174">
        <v>0</v>
      </c>
      <c r="C174">
        <v>19.899999999999999</v>
      </c>
      <c r="D174">
        <v>18.2</v>
      </c>
      <c r="E174">
        <v>58</v>
      </c>
      <c r="F174">
        <v>1005.5</v>
      </c>
    </row>
    <row r="175" spans="1:6" x14ac:dyDescent="0.2">
      <c r="A175" s="1">
        <v>45465</v>
      </c>
      <c r="B175">
        <v>0</v>
      </c>
      <c r="C175">
        <v>17.7</v>
      </c>
      <c r="D175">
        <v>16.3</v>
      </c>
      <c r="E175">
        <v>62</v>
      </c>
      <c r="F175">
        <v>1006.6</v>
      </c>
    </row>
    <row r="176" spans="1:6" x14ac:dyDescent="0.2">
      <c r="A176" s="1">
        <v>45466</v>
      </c>
      <c r="B176">
        <v>0.2</v>
      </c>
      <c r="C176">
        <v>19.100000000000001</v>
      </c>
      <c r="D176">
        <v>10.9</v>
      </c>
      <c r="E176">
        <v>75</v>
      </c>
      <c r="F176">
        <v>1013.8</v>
      </c>
    </row>
    <row r="177" spans="1:6" x14ac:dyDescent="0.2">
      <c r="A177" s="1">
        <v>45467</v>
      </c>
      <c r="B177">
        <v>0</v>
      </c>
      <c r="C177">
        <v>22.9</v>
      </c>
      <c r="D177">
        <v>7.6</v>
      </c>
      <c r="E177">
        <v>61</v>
      </c>
      <c r="F177">
        <v>1013</v>
      </c>
    </row>
    <row r="178" spans="1:6" x14ac:dyDescent="0.2">
      <c r="A178" s="1">
        <v>45468</v>
      </c>
      <c r="B178">
        <v>0</v>
      </c>
      <c r="C178">
        <v>24.1</v>
      </c>
      <c r="D178">
        <v>6</v>
      </c>
      <c r="E178">
        <v>63</v>
      </c>
      <c r="F178">
        <v>1011</v>
      </c>
    </row>
    <row r="179" spans="1:6" x14ac:dyDescent="0.2">
      <c r="A179" s="1">
        <v>45469</v>
      </c>
      <c r="B179">
        <v>0</v>
      </c>
      <c r="C179">
        <v>24.5</v>
      </c>
      <c r="D179">
        <v>14.5</v>
      </c>
      <c r="E179">
        <v>54</v>
      </c>
      <c r="F179">
        <v>1006.5</v>
      </c>
    </row>
    <row r="180" spans="1:6" x14ac:dyDescent="0.2">
      <c r="A180" s="1">
        <v>45470</v>
      </c>
      <c r="B180">
        <v>0</v>
      </c>
      <c r="C180">
        <v>19</v>
      </c>
      <c r="D180">
        <v>26.2</v>
      </c>
      <c r="E180">
        <v>54</v>
      </c>
      <c r="F180">
        <v>1000.3</v>
      </c>
    </row>
    <row r="181" spans="1:6" x14ac:dyDescent="0.2">
      <c r="A181" s="1">
        <v>45471</v>
      </c>
      <c r="B181">
        <v>0.4</v>
      </c>
      <c r="C181">
        <v>15.8</v>
      </c>
      <c r="D181">
        <v>26.3</v>
      </c>
      <c r="E181">
        <v>66</v>
      </c>
      <c r="F181">
        <v>1008.7</v>
      </c>
    </row>
    <row r="182" spans="1:6" x14ac:dyDescent="0.2">
      <c r="A182" s="1">
        <v>45472</v>
      </c>
      <c r="B182">
        <v>0</v>
      </c>
      <c r="C182">
        <v>15.9</v>
      </c>
      <c r="D182">
        <v>9.4</v>
      </c>
      <c r="E182">
        <v>72</v>
      </c>
      <c r="F182">
        <v>1008.6</v>
      </c>
    </row>
    <row r="183" spans="1:6" x14ac:dyDescent="0.2">
      <c r="A183" s="1">
        <v>45473</v>
      </c>
      <c r="B183">
        <v>0.2</v>
      </c>
      <c r="C183">
        <v>14.8</v>
      </c>
      <c r="D183">
        <v>15.1</v>
      </c>
      <c r="E183">
        <v>70</v>
      </c>
      <c r="F183">
        <v>1008.7</v>
      </c>
    </row>
    <row r="184" spans="1:6" x14ac:dyDescent="0.2">
      <c r="A184" s="1">
        <v>45474</v>
      </c>
      <c r="B184">
        <v>0.2</v>
      </c>
      <c r="C184">
        <v>14.9</v>
      </c>
      <c r="D184">
        <v>22.8</v>
      </c>
      <c r="E184">
        <v>75</v>
      </c>
      <c r="F184">
        <v>1011.8</v>
      </c>
    </row>
    <row r="185" spans="1:6" x14ac:dyDescent="0.2">
      <c r="A185" s="1">
        <v>45475</v>
      </c>
      <c r="B185">
        <v>0.1</v>
      </c>
      <c r="C185">
        <v>16.399999999999999</v>
      </c>
      <c r="D185">
        <v>20.9</v>
      </c>
      <c r="E185">
        <v>59</v>
      </c>
      <c r="F185">
        <v>1013.3</v>
      </c>
    </row>
    <row r="186" spans="1:6" x14ac:dyDescent="0.2">
      <c r="A186" s="1">
        <v>45476</v>
      </c>
      <c r="B186">
        <v>0</v>
      </c>
      <c r="C186">
        <v>17.5</v>
      </c>
      <c r="D186">
        <v>16.8</v>
      </c>
      <c r="E186">
        <v>59</v>
      </c>
      <c r="F186">
        <v>999.1</v>
      </c>
    </row>
    <row r="187" spans="1:6" x14ac:dyDescent="0.2">
      <c r="A187" s="1">
        <v>45477</v>
      </c>
      <c r="B187">
        <v>0.1</v>
      </c>
      <c r="C187">
        <v>15.4</v>
      </c>
      <c r="D187">
        <v>32.799999999999997</v>
      </c>
      <c r="E187">
        <v>57</v>
      </c>
      <c r="F187">
        <v>1001.4</v>
      </c>
    </row>
    <row r="188" spans="1:6" x14ac:dyDescent="0.2">
      <c r="A188" s="1">
        <v>45478</v>
      </c>
      <c r="B188">
        <v>0</v>
      </c>
      <c r="C188">
        <v>16.5</v>
      </c>
      <c r="D188">
        <v>16.899999999999999</v>
      </c>
      <c r="E188">
        <v>55</v>
      </c>
      <c r="F188">
        <v>1000.2</v>
      </c>
    </row>
    <row r="189" spans="1:6" x14ac:dyDescent="0.2">
      <c r="A189" s="1">
        <v>45479</v>
      </c>
      <c r="B189">
        <v>0.1</v>
      </c>
      <c r="C189">
        <v>14.9</v>
      </c>
      <c r="D189">
        <v>23.2</v>
      </c>
      <c r="E189">
        <v>63</v>
      </c>
      <c r="F189">
        <v>994.7</v>
      </c>
    </row>
    <row r="190" spans="1:6" x14ac:dyDescent="0.2">
      <c r="A190" s="1">
        <v>45480</v>
      </c>
      <c r="B190">
        <v>0.7</v>
      </c>
      <c r="C190">
        <v>13</v>
      </c>
      <c r="D190">
        <v>8</v>
      </c>
      <c r="E190">
        <v>82</v>
      </c>
      <c r="F190">
        <v>1001.7</v>
      </c>
    </row>
    <row r="191" spans="1:6" x14ac:dyDescent="0.2">
      <c r="A191" s="1">
        <v>45481</v>
      </c>
      <c r="B191">
        <v>0</v>
      </c>
      <c r="C191">
        <v>18</v>
      </c>
      <c r="D191">
        <v>6.1</v>
      </c>
      <c r="E191">
        <v>53</v>
      </c>
      <c r="F191">
        <v>1009</v>
      </c>
    </row>
    <row r="192" spans="1:6" x14ac:dyDescent="0.2">
      <c r="A192" s="1">
        <v>45482</v>
      </c>
      <c r="B192">
        <v>0.2</v>
      </c>
      <c r="C192">
        <v>17.899999999999999</v>
      </c>
      <c r="D192">
        <v>11.9</v>
      </c>
      <c r="E192">
        <v>86</v>
      </c>
      <c r="F192">
        <v>1001.4</v>
      </c>
    </row>
    <row r="193" spans="1:6" x14ac:dyDescent="0.2">
      <c r="A193" s="1">
        <v>45483</v>
      </c>
      <c r="B193">
        <v>1.3</v>
      </c>
      <c r="C193">
        <v>18</v>
      </c>
      <c r="D193">
        <v>20.100000000000001</v>
      </c>
      <c r="E193">
        <v>76</v>
      </c>
      <c r="F193">
        <v>1002.7</v>
      </c>
    </row>
    <row r="194" spans="1:6" x14ac:dyDescent="0.2">
      <c r="A194" s="1">
        <v>45484</v>
      </c>
      <c r="B194">
        <v>0</v>
      </c>
      <c r="C194">
        <v>15.9</v>
      </c>
      <c r="D194">
        <v>8.9</v>
      </c>
      <c r="E194">
        <v>75</v>
      </c>
      <c r="F194">
        <v>1012.4</v>
      </c>
    </row>
    <row r="195" spans="1:6" x14ac:dyDescent="0.2">
      <c r="A195" s="1">
        <v>45485</v>
      </c>
      <c r="B195">
        <v>0.3</v>
      </c>
      <c r="C195">
        <v>14.7</v>
      </c>
      <c r="D195">
        <v>10.199999999999999</v>
      </c>
      <c r="E195">
        <v>74</v>
      </c>
      <c r="F195">
        <v>1013.1</v>
      </c>
    </row>
    <row r="196" spans="1:6" x14ac:dyDescent="0.2">
      <c r="A196" s="1">
        <v>45486</v>
      </c>
      <c r="B196">
        <v>0.3</v>
      </c>
      <c r="C196">
        <v>15.3</v>
      </c>
      <c r="D196">
        <v>9.9</v>
      </c>
      <c r="E196">
        <v>73</v>
      </c>
      <c r="F196">
        <v>1007.8</v>
      </c>
    </row>
    <row r="197" spans="1:6" x14ac:dyDescent="0.2">
      <c r="A197" s="1">
        <v>45487</v>
      </c>
      <c r="B197">
        <v>0.3</v>
      </c>
      <c r="C197">
        <v>16.899999999999999</v>
      </c>
      <c r="D197">
        <v>10.9</v>
      </c>
      <c r="E197">
        <v>74</v>
      </c>
      <c r="F197">
        <v>1005.7</v>
      </c>
    </row>
    <row r="198" spans="1:6" x14ac:dyDescent="0.2">
      <c r="A198" s="1">
        <v>45488</v>
      </c>
      <c r="B198">
        <v>0</v>
      </c>
      <c r="C198">
        <v>20.100000000000001</v>
      </c>
      <c r="D198">
        <v>10.7</v>
      </c>
      <c r="E198">
        <v>58</v>
      </c>
      <c r="F198">
        <v>1002.7</v>
      </c>
    </row>
    <row r="199" spans="1:6" x14ac:dyDescent="0.2">
      <c r="A199" s="1">
        <v>45489</v>
      </c>
      <c r="B199">
        <v>0</v>
      </c>
      <c r="C199">
        <v>20.2</v>
      </c>
      <c r="D199">
        <v>13</v>
      </c>
      <c r="E199">
        <v>65</v>
      </c>
      <c r="F199">
        <v>1003.5</v>
      </c>
    </row>
    <row r="200" spans="1:6" x14ac:dyDescent="0.2">
      <c r="A200" s="1">
        <v>45490</v>
      </c>
      <c r="B200">
        <v>0</v>
      </c>
      <c r="C200">
        <v>19.899999999999999</v>
      </c>
      <c r="D200">
        <v>8.8000000000000007</v>
      </c>
      <c r="E200">
        <v>62</v>
      </c>
      <c r="F200">
        <v>1014.4</v>
      </c>
    </row>
    <row r="201" spans="1:6" x14ac:dyDescent="0.2">
      <c r="A201" s="1">
        <v>45491</v>
      </c>
      <c r="B201">
        <v>0</v>
      </c>
      <c r="C201">
        <v>21.5</v>
      </c>
      <c r="D201">
        <v>16.600000000000001</v>
      </c>
      <c r="E201">
        <v>58</v>
      </c>
      <c r="F201">
        <v>1013.4</v>
      </c>
    </row>
    <row r="202" spans="1:6" x14ac:dyDescent="0.2">
      <c r="A202" s="1">
        <v>45492</v>
      </c>
      <c r="B202">
        <v>0</v>
      </c>
      <c r="C202">
        <v>24.1</v>
      </c>
      <c r="D202">
        <v>12.8</v>
      </c>
      <c r="E202">
        <v>58</v>
      </c>
      <c r="F202">
        <v>1009.5</v>
      </c>
    </row>
    <row r="203" spans="1:6" x14ac:dyDescent="0.2">
      <c r="A203" s="1">
        <v>45493</v>
      </c>
      <c r="B203">
        <v>0.1</v>
      </c>
      <c r="C203">
        <v>22.2</v>
      </c>
      <c r="D203">
        <v>13.1</v>
      </c>
      <c r="E203">
        <v>69</v>
      </c>
      <c r="F203">
        <v>999.6</v>
      </c>
    </row>
    <row r="204" spans="1:6" x14ac:dyDescent="0.2">
      <c r="A204" s="1">
        <v>45494</v>
      </c>
      <c r="B204">
        <v>0</v>
      </c>
      <c r="C204">
        <v>15.9</v>
      </c>
      <c r="D204">
        <v>15.5</v>
      </c>
      <c r="E204">
        <v>69</v>
      </c>
      <c r="F204">
        <v>1005.6</v>
      </c>
    </row>
    <row r="205" spans="1:6" x14ac:dyDescent="0.2">
      <c r="A205" s="1">
        <v>45495</v>
      </c>
      <c r="B205">
        <v>0</v>
      </c>
      <c r="C205">
        <v>19.3</v>
      </c>
      <c r="D205">
        <v>17</v>
      </c>
      <c r="E205">
        <v>74</v>
      </c>
      <c r="F205">
        <v>1005.4</v>
      </c>
    </row>
    <row r="206" spans="1:6" x14ac:dyDescent="0.2">
      <c r="A206" s="1">
        <v>45496</v>
      </c>
      <c r="B206">
        <v>0.2</v>
      </c>
      <c r="C206">
        <v>20.8</v>
      </c>
      <c r="D206">
        <v>10.6</v>
      </c>
      <c r="E206">
        <v>62</v>
      </c>
      <c r="F206">
        <v>1013.3</v>
      </c>
    </row>
    <row r="207" spans="1:6" x14ac:dyDescent="0.2">
      <c r="A207" s="1">
        <v>45497</v>
      </c>
      <c r="B207">
        <v>0</v>
      </c>
      <c r="C207">
        <v>20.399999999999999</v>
      </c>
      <c r="D207">
        <v>14.7</v>
      </c>
      <c r="E207">
        <v>70</v>
      </c>
      <c r="F207">
        <v>1012.7</v>
      </c>
    </row>
    <row r="208" spans="1:6" x14ac:dyDescent="0.2">
      <c r="A208" s="1">
        <v>45498</v>
      </c>
      <c r="B208">
        <v>0.2</v>
      </c>
      <c r="C208">
        <v>20.6</v>
      </c>
      <c r="D208">
        <v>20.3</v>
      </c>
      <c r="E208">
        <v>70</v>
      </c>
      <c r="F208">
        <v>1001.7</v>
      </c>
    </row>
    <row r="209" spans="1:6" x14ac:dyDescent="0.2">
      <c r="A209" s="1">
        <v>45499</v>
      </c>
      <c r="B209">
        <v>0.1</v>
      </c>
      <c r="C209">
        <v>17.8</v>
      </c>
      <c r="D209">
        <v>15.5</v>
      </c>
      <c r="E209">
        <v>61</v>
      </c>
      <c r="F209">
        <v>1004.5</v>
      </c>
    </row>
    <row r="210" spans="1:6" x14ac:dyDescent="0.2">
      <c r="A210" s="1">
        <v>45500</v>
      </c>
      <c r="B210">
        <v>0</v>
      </c>
      <c r="C210">
        <v>18</v>
      </c>
      <c r="D210">
        <v>9</v>
      </c>
      <c r="E210">
        <v>67</v>
      </c>
      <c r="F210">
        <v>1008.2</v>
      </c>
    </row>
    <row r="211" spans="1:6" x14ac:dyDescent="0.2">
      <c r="A211" s="1">
        <v>45501</v>
      </c>
      <c r="B211">
        <v>0</v>
      </c>
      <c r="C211">
        <v>20.9</v>
      </c>
      <c r="D211">
        <v>9.8000000000000007</v>
      </c>
      <c r="E211">
        <v>58</v>
      </c>
      <c r="F211">
        <v>1019.5</v>
      </c>
    </row>
    <row r="212" spans="1:6" x14ac:dyDescent="0.2">
      <c r="A212" s="1">
        <v>45502</v>
      </c>
      <c r="B212">
        <v>0</v>
      </c>
      <c r="C212">
        <v>23.1</v>
      </c>
      <c r="D212">
        <v>12.9</v>
      </c>
      <c r="E212">
        <v>55</v>
      </c>
      <c r="F212">
        <v>1015.2</v>
      </c>
    </row>
    <row r="213" spans="1:6" x14ac:dyDescent="0.2">
      <c r="A213" s="1">
        <v>45503</v>
      </c>
      <c r="B213">
        <v>0</v>
      </c>
      <c r="C213">
        <v>22.9</v>
      </c>
      <c r="D213">
        <v>7.9</v>
      </c>
      <c r="E213">
        <v>59</v>
      </c>
      <c r="F213">
        <v>1013.2</v>
      </c>
    </row>
    <row r="214" spans="1:6" x14ac:dyDescent="0.2">
      <c r="A214" s="1">
        <v>45504</v>
      </c>
      <c r="B214">
        <v>0</v>
      </c>
      <c r="C214">
        <v>24.5</v>
      </c>
      <c r="D214">
        <v>6.9</v>
      </c>
      <c r="E214">
        <v>57</v>
      </c>
      <c r="F214">
        <v>1010.1</v>
      </c>
    </row>
    <row r="215" spans="1:6" x14ac:dyDescent="0.2">
      <c r="A215" s="1">
        <v>45505</v>
      </c>
      <c r="B215">
        <v>0</v>
      </c>
      <c r="C215">
        <v>22.8</v>
      </c>
      <c r="D215">
        <v>8.1999999999999993</v>
      </c>
      <c r="E215">
        <v>62</v>
      </c>
      <c r="F215">
        <v>1007.8</v>
      </c>
    </row>
    <row r="216" spans="1:6" x14ac:dyDescent="0.2">
      <c r="A216" s="1">
        <v>45506</v>
      </c>
      <c r="B216">
        <v>0</v>
      </c>
      <c r="C216">
        <v>22.6</v>
      </c>
      <c r="D216">
        <v>15.2</v>
      </c>
      <c r="E216">
        <v>57</v>
      </c>
      <c r="F216">
        <v>1004.7</v>
      </c>
    </row>
    <row r="217" spans="1:6" x14ac:dyDescent="0.2">
      <c r="A217" s="1">
        <v>45507</v>
      </c>
      <c r="B217">
        <v>0</v>
      </c>
      <c r="C217">
        <v>18.2</v>
      </c>
      <c r="D217">
        <v>18.100000000000001</v>
      </c>
      <c r="E217">
        <v>55</v>
      </c>
      <c r="F217">
        <v>1005.3</v>
      </c>
    </row>
    <row r="218" spans="1:6" x14ac:dyDescent="0.2">
      <c r="A218" s="1">
        <v>45508</v>
      </c>
      <c r="B218">
        <v>0</v>
      </c>
      <c r="C218">
        <v>18</v>
      </c>
      <c r="D218">
        <v>14.5</v>
      </c>
      <c r="E218">
        <v>66</v>
      </c>
      <c r="F218">
        <v>1008</v>
      </c>
    </row>
    <row r="219" spans="1:6" x14ac:dyDescent="0.2">
      <c r="A219" s="1">
        <v>45509</v>
      </c>
      <c r="B219">
        <v>0</v>
      </c>
      <c r="C219">
        <v>23.2</v>
      </c>
      <c r="D219">
        <v>21.6</v>
      </c>
      <c r="E219">
        <v>66</v>
      </c>
      <c r="F219">
        <v>1002.5</v>
      </c>
    </row>
    <row r="220" spans="1:6" x14ac:dyDescent="0.2">
      <c r="A220" s="1">
        <v>45510</v>
      </c>
      <c r="B220">
        <v>0.1</v>
      </c>
      <c r="C220">
        <v>18.899999999999999</v>
      </c>
      <c r="D220">
        <v>13.2</v>
      </c>
      <c r="E220">
        <v>67</v>
      </c>
      <c r="F220">
        <v>1001.7</v>
      </c>
    </row>
    <row r="221" spans="1:6" x14ac:dyDescent="0.2">
      <c r="A221" s="1">
        <v>45511</v>
      </c>
      <c r="B221">
        <v>0</v>
      </c>
      <c r="C221">
        <v>18.2</v>
      </c>
      <c r="D221">
        <v>22.5</v>
      </c>
      <c r="E221">
        <v>64</v>
      </c>
      <c r="F221">
        <v>1003.2</v>
      </c>
    </row>
    <row r="222" spans="1:6" x14ac:dyDescent="0.2">
      <c r="A222" s="1">
        <v>45512</v>
      </c>
      <c r="B222">
        <v>0.1</v>
      </c>
      <c r="C222">
        <v>19.399999999999999</v>
      </c>
      <c r="D222">
        <v>27.4</v>
      </c>
      <c r="E222">
        <v>76</v>
      </c>
      <c r="F222">
        <v>1002.8</v>
      </c>
    </row>
    <row r="223" spans="1:6" x14ac:dyDescent="0.2">
      <c r="A223" s="1">
        <v>45513</v>
      </c>
      <c r="B223">
        <v>0</v>
      </c>
      <c r="C223">
        <v>19.5</v>
      </c>
      <c r="D223">
        <v>29.5</v>
      </c>
      <c r="E223">
        <v>60</v>
      </c>
      <c r="F223">
        <v>1006.9</v>
      </c>
    </row>
    <row r="224" spans="1:6" x14ac:dyDescent="0.2">
      <c r="A224" s="1">
        <v>45514</v>
      </c>
      <c r="B224">
        <v>0.1</v>
      </c>
      <c r="C224">
        <v>20.2</v>
      </c>
      <c r="D224">
        <v>18.600000000000001</v>
      </c>
      <c r="E224">
        <v>67</v>
      </c>
      <c r="F224">
        <v>1011.1</v>
      </c>
    </row>
    <row r="225" spans="1:6" x14ac:dyDescent="0.2">
      <c r="A225" s="1">
        <v>45515</v>
      </c>
      <c r="B225">
        <v>0</v>
      </c>
      <c r="C225">
        <v>22.6</v>
      </c>
      <c r="D225">
        <v>9.6999999999999993</v>
      </c>
      <c r="E225">
        <v>51</v>
      </c>
      <c r="F225">
        <v>1015</v>
      </c>
    </row>
    <row r="226" spans="1:6" x14ac:dyDescent="0.2">
      <c r="A226" s="1">
        <v>45516</v>
      </c>
      <c r="B226">
        <v>0.1</v>
      </c>
      <c r="C226">
        <v>23.9</v>
      </c>
      <c r="D226">
        <v>13.6</v>
      </c>
      <c r="E226">
        <v>77</v>
      </c>
      <c r="F226">
        <v>1000.5</v>
      </c>
    </row>
    <row r="227" spans="1:6" x14ac:dyDescent="0.2">
      <c r="A227" s="1">
        <v>45517</v>
      </c>
      <c r="B227">
        <v>0</v>
      </c>
      <c r="C227">
        <v>21.1</v>
      </c>
      <c r="D227">
        <v>18.7</v>
      </c>
      <c r="E227">
        <v>62</v>
      </c>
      <c r="F227">
        <v>1001.6</v>
      </c>
    </row>
    <row r="228" spans="1:6" x14ac:dyDescent="0.2">
      <c r="A228" s="1">
        <v>45518</v>
      </c>
      <c r="B228">
        <v>0</v>
      </c>
      <c r="C228">
        <v>19.899999999999999</v>
      </c>
      <c r="D228">
        <v>7.6</v>
      </c>
      <c r="E228">
        <v>58</v>
      </c>
      <c r="F228">
        <v>1009</v>
      </c>
    </row>
    <row r="229" spans="1:6" x14ac:dyDescent="0.2">
      <c r="A229" s="1">
        <v>45519</v>
      </c>
      <c r="B229">
        <v>0.5</v>
      </c>
      <c r="C229">
        <v>18</v>
      </c>
      <c r="D229">
        <v>23</v>
      </c>
      <c r="E229">
        <v>88</v>
      </c>
      <c r="F229">
        <v>1002.6</v>
      </c>
    </row>
    <row r="230" spans="1:6" x14ac:dyDescent="0.2">
      <c r="A230" s="1">
        <v>45520</v>
      </c>
      <c r="B230">
        <v>0</v>
      </c>
      <c r="C230">
        <v>18.3</v>
      </c>
      <c r="D230">
        <v>13.9</v>
      </c>
      <c r="E230">
        <v>56</v>
      </c>
      <c r="F230">
        <v>1009.8</v>
      </c>
    </row>
    <row r="231" spans="1:6" x14ac:dyDescent="0.2">
      <c r="A231" s="1">
        <v>45521</v>
      </c>
      <c r="B231">
        <v>0.1</v>
      </c>
      <c r="C231">
        <v>17.8</v>
      </c>
      <c r="D231">
        <v>13.3</v>
      </c>
      <c r="E231">
        <v>59</v>
      </c>
      <c r="F231">
        <v>1007.3</v>
      </c>
    </row>
    <row r="232" spans="1:6" x14ac:dyDescent="0.2">
      <c r="A232" s="1">
        <v>45522</v>
      </c>
      <c r="B232">
        <v>0.1</v>
      </c>
      <c r="C232">
        <v>17.399999999999999</v>
      </c>
      <c r="D232">
        <v>23.1</v>
      </c>
      <c r="E232">
        <v>63</v>
      </c>
      <c r="F232">
        <v>1007.8</v>
      </c>
    </row>
    <row r="233" spans="1:6" x14ac:dyDescent="0.2">
      <c r="A233" s="1">
        <v>45523</v>
      </c>
      <c r="B233">
        <v>0.1</v>
      </c>
      <c r="C233">
        <v>18.399999999999999</v>
      </c>
      <c r="D233">
        <v>26.2</v>
      </c>
      <c r="E233">
        <v>72</v>
      </c>
      <c r="F233">
        <v>1006.1</v>
      </c>
    </row>
    <row r="234" spans="1:6" x14ac:dyDescent="0.2">
      <c r="A234" s="1">
        <v>45524</v>
      </c>
      <c r="B234">
        <v>0</v>
      </c>
      <c r="C234">
        <v>17.5</v>
      </c>
      <c r="D234">
        <v>22.9</v>
      </c>
      <c r="E234">
        <v>56</v>
      </c>
      <c r="F234">
        <v>1001.5</v>
      </c>
    </row>
    <row r="235" spans="1:6" x14ac:dyDescent="0.2">
      <c r="A235" s="1">
        <v>45525</v>
      </c>
      <c r="B235">
        <v>0.1</v>
      </c>
      <c r="C235">
        <v>17.399999999999999</v>
      </c>
      <c r="D235">
        <v>22.7</v>
      </c>
      <c r="E235">
        <v>59</v>
      </c>
      <c r="F235">
        <v>1008.6</v>
      </c>
    </row>
    <row r="236" spans="1:6" x14ac:dyDescent="0.2">
      <c r="A236" s="1">
        <v>45526</v>
      </c>
      <c r="B236">
        <v>0</v>
      </c>
      <c r="C236">
        <v>17</v>
      </c>
      <c r="D236">
        <v>23.6</v>
      </c>
      <c r="E236">
        <v>71</v>
      </c>
      <c r="F236">
        <v>995.5</v>
      </c>
    </row>
    <row r="237" spans="1:6" x14ac:dyDescent="0.2">
      <c r="A237" s="1">
        <v>45527</v>
      </c>
      <c r="B237">
        <v>0</v>
      </c>
      <c r="C237">
        <v>16.600000000000001</v>
      </c>
      <c r="D237">
        <v>33.299999999999997</v>
      </c>
      <c r="E237">
        <v>59</v>
      </c>
      <c r="F237">
        <v>997.1</v>
      </c>
    </row>
    <row r="238" spans="1:6" x14ac:dyDescent="0.2">
      <c r="A238" s="1">
        <v>45528</v>
      </c>
      <c r="B238">
        <v>0.3</v>
      </c>
      <c r="C238">
        <v>14.8</v>
      </c>
      <c r="D238">
        <v>17.8</v>
      </c>
      <c r="E238">
        <v>77</v>
      </c>
      <c r="F238">
        <v>996</v>
      </c>
    </row>
    <row r="239" spans="1:6" x14ac:dyDescent="0.2">
      <c r="A239" s="1">
        <v>45529</v>
      </c>
      <c r="B239">
        <v>0</v>
      </c>
      <c r="C239">
        <v>15.9</v>
      </c>
      <c r="D239">
        <v>29.8</v>
      </c>
      <c r="E239">
        <v>64</v>
      </c>
      <c r="F239">
        <v>1007.2</v>
      </c>
    </row>
    <row r="240" spans="1:6" x14ac:dyDescent="0.2">
      <c r="A240" s="1">
        <v>45530</v>
      </c>
      <c r="B240">
        <v>0</v>
      </c>
      <c r="C240">
        <v>18.2</v>
      </c>
      <c r="D240">
        <v>17.7</v>
      </c>
      <c r="E240">
        <v>67</v>
      </c>
      <c r="F240">
        <v>1011.1</v>
      </c>
    </row>
    <row r="241" spans="1:6" x14ac:dyDescent="0.2">
      <c r="A241" s="1">
        <v>45531</v>
      </c>
      <c r="B241">
        <v>0</v>
      </c>
      <c r="C241">
        <v>18.8</v>
      </c>
      <c r="D241">
        <v>17.7</v>
      </c>
      <c r="E241">
        <v>70</v>
      </c>
      <c r="F241">
        <v>1008.1</v>
      </c>
    </row>
    <row r="242" spans="1:6" x14ac:dyDescent="0.2">
      <c r="A242" s="1">
        <v>45532</v>
      </c>
      <c r="B242">
        <v>0</v>
      </c>
      <c r="C242">
        <v>19.100000000000001</v>
      </c>
      <c r="D242">
        <v>21.8</v>
      </c>
      <c r="E242">
        <v>67</v>
      </c>
      <c r="F242">
        <v>1006.2</v>
      </c>
    </row>
    <row r="243" spans="1:6" x14ac:dyDescent="0.2">
      <c r="A243" s="1">
        <v>45533</v>
      </c>
      <c r="B243">
        <v>0</v>
      </c>
      <c r="C243">
        <v>17.7</v>
      </c>
      <c r="D243">
        <v>17.5</v>
      </c>
      <c r="E243">
        <v>60</v>
      </c>
      <c r="F243">
        <v>1011.4</v>
      </c>
    </row>
    <row r="244" spans="1:6" x14ac:dyDescent="0.2">
      <c r="A244" s="1">
        <v>45534</v>
      </c>
      <c r="B244">
        <v>0</v>
      </c>
      <c r="C244">
        <v>18.399999999999999</v>
      </c>
      <c r="D244">
        <v>4.3</v>
      </c>
      <c r="E244">
        <v>60</v>
      </c>
      <c r="F244">
        <v>1019</v>
      </c>
    </row>
    <row r="245" spans="1:6" x14ac:dyDescent="0.2">
      <c r="A245" s="1">
        <v>45535</v>
      </c>
      <c r="B245">
        <v>0</v>
      </c>
      <c r="C245">
        <v>18.600000000000001</v>
      </c>
      <c r="D245">
        <v>14.5</v>
      </c>
      <c r="E245">
        <v>57</v>
      </c>
      <c r="F245">
        <v>1020.1</v>
      </c>
    </row>
    <row r="246" spans="1:6" x14ac:dyDescent="0.2">
      <c r="A246" s="1">
        <v>45536</v>
      </c>
      <c r="B246">
        <v>0</v>
      </c>
      <c r="C246">
        <v>22.1</v>
      </c>
      <c r="D246">
        <v>15.5</v>
      </c>
      <c r="E246">
        <v>67</v>
      </c>
      <c r="F246">
        <v>1010.2</v>
      </c>
    </row>
    <row r="247" spans="1:6" x14ac:dyDescent="0.2">
      <c r="A247" s="1">
        <v>45537</v>
      </c>
      <c r="B247">
        <v>0.2</v>
      </c>
      <c r="C247">
        <v>20.100000000000001</v>
      </c>
      <c r="D247">
        <v>11.2</v>
      </c>
      <c r="E247">
        <v>85</v>
      </c>
      <c r="F247">
        <v>1002</v>
      </c>
    </row>
    <row r="248" spans="1:6" x14ac:dyDescent="0.2">
      <c r="A248" s="1">
        <v>45538</v>
      </c>
      <c r="B248">
        <v>0</v>
      </c>
      <c r="C248">
        <v>16.899999999999999</v>
      </c>
      <c r="D248">
        <v>14.5</v>
      </c>
      <c r="E248">
        <v>65</v>
      </c>
      <c r="F248">
        <v>1007.6</v>
      </c>
    </row>
    <row r="249" spans="1:6" x14ac:dyDescent="0.2">
      <c r="A249" s="1">
        <v>45539</v>
      </c>
      <c r="B249">
        <v>0.1</v>
      </c>
      <c r="C249">
        <v>15.3</v>
      </c>
      <c r="D249">
        <v>7.3</v>
      </c>
      <c r="E249">
        <v>69</v>
      </c>
      <c r="F249">
        <v>1012.5</v>
      </c>
    </row>
    <row r="250" spans="1:6" x14ac:dyDescent="0.2">
      <c r="A250" s="1">
        <v>45540</v>
      </c>
      <c r="B250">
        <v>0</v>
      </c>
      <c r="C250">
        <v>17.8</v>
      </c>
      <c r="D250">
        <v>27.5</v>
      </c>
      <c r="E250">
        <v>78</v>
      </c>
      <c r="F250">
        <v>1011.9</v>
      </c>
    </row>
    <row r="251" spans="1:6" x14ac:dyDescent="0.2">
      <c r="A251" s="1">
        <v>45541</v>
      </c>
      <c r="B251">
        <v>0</v>
      </c>
      <c r="C251">
        <v>23.4</v>
      </c>
      <c r="D251">
        <v>31.8</v>
      </c>
      <c r="E251">
        <v>67</v>
      </c>
      <c r="F251">
        <v>1005.4</v>
      </c>
    </row>
    <row r="252" spans="1:6" x14ac:dyDescent="0.2">
      <c r="A252" s="1">
        <v>45542</v>
      </c>
      <c r="B252">
        <v>0.1</v>
      </c>
      <c r="C252">
        <v>21.7</v>
      </c>
      <c r="D252">
        <v>13.5</v>
      </c>
      <c r="E252">
        <v>69</v>
      </c>
      <c r="F252">
        <v>1004.8</v>
      </c>
    </row>
    <row r="253" spans="1:6" x14ac:dyDescent="0.2">
      <c r="A253" s="1">
        <v>45543</v>
      </c>
      <c r="B253">
        <v>3.4</v>
      </c>
      <c r="C253">
        <v>17.8</v>
      </c>
      <c r="D253">
        <v>7.6</v>
      </c>
      <c r="E253">
        <v>89</v>
      </c>
      <c r="F253">
        <v>997.2</v>
      </c>
    </row>
    <row r="254" spans="1:6" x14ac:dyDescent="0.2">
      <c r="A254" s="1">
        <v>45544</v>
      </c>
      <c r="B254">
        <v>0</v>
      </c>
      <c r="C254">
        <v>15.6</v>
      </c>
      <c r="D254">
        <v>23.4</v>
      </c>
      <c r="E254">
        <v>62</v>
      </c>
      <c r="F254">
        <v>1006.1</v>
      </c>
    </row>
    <row r="255" spans="1:6" x14ac:dyDescent="0.2">
      <c r="A255" s="1">
        <v>45545</v>
      </c>
      <c r="B255">
        <v>0</v>
      </c>
      <c r="C255">
        <v>13.3</v>
      </c>
      <c r="D255">
        <v>26</v>
      </c>
      <c r="E255">
        <v>76</v>
      </c>
      <c r="F255">
        <v>998.9</v>
      </c>
    </row>
    <row r="256" spans="1:6" x14ac:dyDescent="0.2">
      <c r="A256" s="1">
        <v>45546</v>
      </c>
      <c r="B256">
        <v>0.2</v>
      </c>
      <c r="C256">
        <v>11.9</v>
      </c>
      <c r="D256">
        <v>23.6</v>
      </c>
      <c r="E256">
        <v>70</v>
      </c>
      <c r="F256">
        <v>1001.3</v>
      </c>
    </row>
    <row r="257" spans="1:6" x14ac:dyDescent="0.2">
      <c r="A257" s="1">
        <v>45547</v>
      </c>
      <c r="B257">
        <v>0</v>
      </c>
      <c r="C257">
        <v>13.4</v>
      </c>
      <c r="D257">
        <v>13.2</v>
      </c>
      <c r="E257">
        <v>57</v>
      </c>
      <c r="F257">
        <v>1010.7</v>
      </c>
    </row>
    <row r="258" spans="1:6" x14ac:dyDescent="0.2">
      <c r="A258" s="1">
        <v>45548</v>
      </c>
      <c r="B258">
        <v>0.1</v>
      </c>
      <c r="C258">
        <v>13.4</v>
      </c>
      <c r="D258">
        <v>10</v>
      </c>
      <c r="E258">
        <v>63</v>
      </c>
      <c r="F258">
        <v>1023</v>
      </c>
    </row>
    <row r="259" spans="1:6" x14ac:dyDescent="0.2">
      <c r="A259" s="1">
        <v>45549</v>
      </c>
      <c r="B259">
        <v>0</v>
      </c>
      <c r="C259">
        <v>17.7</v>
      </c>
      <c r="D259">
        <v>17.399999999999999</v>
      </c>
      <c r="E259">
        <v>66</v>
      </c>
      <c r="F259">
        <v>1021.5</v>
      </c>
    </row>
    <row r="260" spans="1:6" x14ac:dyDescent="0.2">
      <c r="A260" s="1">
        <v>45550</v>
      </c>
      <c r="B260">
        <v>0.2</v>
      </c>
      <c r="C260">
        <v>15</v>
      </c>
      <c r="D260">
        <v>16.899999999999999</v>
      </c>
      <c r="E260">
        <v>87</v>
      </c>
      <c r="F260">
        <v>1018.4</v>
      </c>
    </row>
    <row r="261" spans="1:6" x14ac:dyDescent="0.2">
      <c r="A261" s="1">
        <v>45551</v>
      </c>
      <c r="B261">
        <v>0</v>
      </c>
      <c r="C261">
        <v>16</v>
      </c>
      <c r="D261">
        <v>2.9</v>
      </c>
      <c r="E261">
        <v>73</v>
      </c>
      <c r="F261">
        <v>1024.5</v>
      </c>
    </row>
    <row r="262" spans="1:6" x14ac:dyDescent="0.2">
      <c r="A262" s="1">
        <v>45552</v>
      </c>
      <c r="B262">
        <v>0</v>
      </c>
      <c r="C262">
        <v>17.8</v>
      </c>
      <c r="D262">
        <v>3.4</v>
      </c>
      <c r="E262">
        <v>69</v>
      </c>
      <c r="F262">
        <v>1027.2</v>
      </c>
    </row>
    <row r="263" spans="1:6" x14ac:dyDescent="0.2">
      <c r="A263" s="1">
        <v>45553</v>
      </c>
      <c r="B263">
        <v>0</v>
      </c>
      <c r="C263">
        <v>17.899999999999999</v>
      </c>
      <c r="D263">
        <v>12.1</v>
      </c>
      <c r="E263">
        <v>67</v>
      </c>
      <c r="F263">
        <v>1025.7</v>
      </c>
    </row>
    <row r="264" spans="1:6" x14ac:dyDescent="0.2">
      <c r="A264" s="1">
        <v>45554</v>
      </c>
      <c r="B264">
        <v>0</v>
      </c>
      <c r="C264">
        <v>18.5</v>
      </c>
      <c r="D264">
        <v>20.2</v>
      </c>
      <c r="E264">
        <v>70</v>
      </c>
      <c r="F264">
        <v>1022.5</v>
      </c>
    </row>
    <row r="265" spans="1:6" x14ac:dyDescent="0.2">
      <c r="A265" s="1">
        <v>45555</v>
      </c>
      <c r="B265">
        <v>0</v>
      </c>
      <c r="C265">
        <v>18.399999999999999</v>
      </c>
      <c r="D265">
        <v>24</v>
      </c>
      <c r="E265">
        <v>73</v>
      </c>
      <c r="F265">
        <v>1018.9</v>
      </c>
    </row>
    <row r="266" spans="1:6" x14ac:dyDescent="0.2">
      <c r="A266" s="1">
        <v>45556</v>
      </c>
      <c r="B266">
        <v>0</v>
      </c>
      <c r="C266">
        <v>20.399999999999999</v>
      </c>
      <c r="D266">
        <v>20.2</v>
      </c>
      <c r="E266">
        <v>64</v>
      </c>
      <c r="F266">
        <v>1014.1</v>
      </c>
    </row>
    <row r="267" spans="1:6" x14ac:dyDescent="0.2">
      <c r="A267" s="1">
        <v>45557</v>
      </c>
      <c r="B267">
        <v>0.2</v>
      </c>
      <c r="C267">
        <v>16.8</v>
      </c>
      <c r="D267">
        <v>21.7</v>
      </c>
      <c r="E267">
        <v>80</v>
      </c>
      <c r="F267">
        <v>1008.6</v>
      </c>
    </row>
    <row r="268" spans="1:6" x14ac:dyDescent="0.2">
      <c r="A268" s="1">
        <v>45558</v>
      </c>
      <c r="B268">
        <v>0</v>
      </c>
      <c r="C268">
        <v>16.399999999999999</v>
      </c>
      <c r="D268">
        <v>20.2</v>
      </c>
      <c r="E268">
        <v>80</v>
      </c>
      <c r="F268">
        <v>998.9</v>
      </c>
    </row>
    <row r="269" spans="1:6" x14ac:dyDescent="0.2">
      <c r="A269" s="1">
        <v>45559</v>
      </c>
      <c r="B269">
        <v>0.1</v>
      </c>
      <c r="C269">
        <v>14.6</v>
      </c>
      <c r="D269">
        <v>19.399999999999999</v>
      </c>
      <c r="E269">
        <v>67</v>
      </c>
      <c r="F269">
        <v>997.4</v>
      </c>
    </row>
    <row r="270" spans="1:6" x14ac:dyDescent="0.2">
      <c r="A270" s="1">
        <v>45560</v>
      </c>
      <c r="B270">
        <v>0.1</v>
      </c>
      <c r="C270">
        <v>12.3</v>
      </c>
      <c r="D270">
        <v>10.199999999999999</v>
      </c>
      <c r="E270">
        <v>83</v>
      </c>
      <c r="F270">
        <v>992.1</v>
      </c>
    </row>
    <row r="271" spans="1:6" x14ac:dyDescent="0.2">
      <c r="A271" s="1">
        <v>45561</v>
      </c>
      <c r="B271">
        <v>0</v>
      </c>
      <c r="C271">
        <v>14.1</v>
      </c>
      <c r="D271">
        <v>6.4</v>
      </c>
      <c r="E271">
        <v>78</v>
      </c>
      <c r="F271">
        <v>979.8</v>
      </c>
    </row>
    <row r="272" spans="1:6" x14ac:dyDescent="0.2">
      <c r="A272" s="1">
        <v>45562</v>
      </c>
      <c r="B272">
        <v>0</v>
      </c>
      <c r="C272">
        <v>12.6</v>
      </c>
      <c r="D272">
        <v>21.8</v>
      </c>
      <c r="E272">
        <v>57</v>
      </c>
      <c r="F272">
        <v>1000</v>
      </c>
    </row>
    <row r="273" spans="1:6" x14ac:dyDescent="0.2">
      <c r="A273" s="1">
        <v>45563</v>
      </c>
      <c r="B273">
        <v>0.3</v>
      </c>
      <c r="C273">
        <v>12.3</v>
      </c>
      <c r="D273">
        <v>13.7</v>
      </c>
      <c r="E273">
        <v>69</v>
      </c>
      <c r="F273">
        <v>1017.8</v>
      </c>
    </row>
    <row r="274" spans="1:6" x14ac:dyDescent="0.2">
      <c r="A274" s="1">
        <v>45564</v>
      </c>
      <c r="B274">
        <v>0</v>
      </c>
      <c r="C274">
        <v>12.6</v>
      </c>
      <c r="D274">
        <v>17.3</v>
      </c>
      <c r="E274">
        <v>69</v>
      </c>
      <c r="F274">
        <v>1012.3</v>
      </c>
    </row>
    <row r="275" spans="1:6" x14ac:dyDescent="0.2">
      <c r="A275" s="1">
        <v>45565</v>
      </c>
      <c r="B275">
        <v>3</v>
      </c>
      <c r="C275">
        <v>12.6</v>
      </c>
      <c r="D275">
        <v>19.3</v>
      </c>
      <c r="E275">
        <v>91</v>
      </c>
      <c r="F275">
        <v>997.2</v>
      </c>
    </row>
    <row r="276" spans="1:6" x14ac:dyDescent="0.2">
      <c r="A276" s="1">
        <v>45566</v>
      </c>
      <c r="B276">
        <v>0.1</v>
      </c>
      <c r="C276">
        <v>13.7</v>
      </c>
      <c r="D276">
        <v>18.399999999999999</v>
      </c>
      <c r="E276">
        <v>82</v>
      </c>
      <c r="F276">
        <v>1004.3</v>
      </c>
    </row>
    <row r="277" spans="1:6" x14ac:dyDescent="0.2">
      <c r="A277" s="1">
        <v>45567</v>
      </c>
      <c r="B277">
        <v>0</v>
      </c>
      <c r="C277">
        <v>15.2</v>
      </c>
      <c r="D277">
        <v>22.8</v>
      </c>
      <c r="E277">
        <v>62</v>
      </c>
      <c r="F277">
        <v>1013</v>
      </c>
    </row>
    <row r="278" spans="1:6" x14ac:dyDescent="0.2">
      <c r="A278" s="1">
        <v>45568</v>
      </c>
      <c r="B278">
        <v>0</v>
      </c>
      <c r="C278">
        <v>14.6</v>
      </c>
      <c r="D278">
        <v>15</v>
      </c>
      <c r="E278">
        <v>62</v>
      </c>
      <c r="F278">
        <v>1017.3</v>
      </c>
    </row>
    <row r="279" spans="1:6" x14ac:dyDescent="0.2">
      <c r="A279" s="1">
        <v>45569</v>
      </c>
      <c r="B279">
        <v>0</v>
      </c>
      <c r="C279">
        <v>15.1</v>
      </c>
      <c r="D279">
        <v>21.2</v>
      </c>
      <c r="E279">
        <v>60</v>
      </c>
      <c r="F279">
        <v>1013.8</v>
      </c>
    </row>
    <row r="280" spans="1:6" x14ac:dyDescent="0.2">
      <c r="A280" s="1">
        <v>45570</v>
      </c>
      <c r="B280">
        <v>0</v>
      </c>
      <c r="C280">
        <v>15.6</v>
      </c>
      <c r="D280">
        <v>25.1</v>
      </c>
      <c r="E280">
        <v>62</v>
      </c>
      <c r="F280">
        <v>1006.7</v>
      </c>
    </row>
    <row r="281" spans="1:6" x14ac:dyDescent="0.2">
      <c r="A281" s="1">
        <v>45571</v>
      </c>
      <c r="B281">
        <v>0</v>
      </c>
      <c r="C281">
        <v>14.6</v>
      </c>
      <c r="D281">
        <v>22.8</v>
      </c>
      <c r="E281">
        <v>73</v>
      </c>
      <c r="F281">
        <v>992.6</v>
      </c>
    </row>
    <row r="282" spans="1:6" x14ac:dyDescent="0.2">
      <c r="A282" s="1">
        <v>45572</v>
      </c>
      <c r="B282">
        <v>0</v>
      </c>
      <c r="C282">
        <v>15.6</v>
      </c>
      <c r="D282">
        <v>15.5</v>
      </c>
      <c r="E282">
        <v>75</v>
      </c>
      <c r="F282">
        <v>990.3</v>
      </c>
    </row>
    <row r="283" spans="1:6" x14ac:dyDescent="0.2">
      <c r="A283" s="1">
        <v>45573</v>
      </c>
      <c r="B283">
        <v>0</v>
      </c>
      <c r="C283">
        <v>15.6</v>
      </c>
      <c r="D283">
        <v>10.6</v>
      </c>
      <c r="E283">
        <v>76</v>
      </c>
      <c r="F283">
        <v>985.3</v>
      </c>
    </row>
    <row r="284" spans="1:6" x14ac:dyDescent="0.2">
      <c r="A284" s="1">
        <v>45574</v>
      </c>
      <c r="B284">
        <v>0.2</v>
      </c>
      <c r="C284">
        <v>13.3</v>
      </c>
      <c r="D284">
        <v>19</v>
      </c>
      <c r="E284">
        <v>80</v>
      </c>
      <c r="F284">
        <v>982.6</v>
      </c>
    </row>
    <row r="285" spans="1:6" x14ac:dyDescent="0.2">
      <c r="A285" s="1">
        <v>45575</v>
      </c>
      <c r="B285">
        <v>0</v>
      </c>
      <c r="C285">
        <v>9.9</v>
      </c>
      <c r="D285">
        <v>6.5</v>
      </c>
      <c r="E285">
        <v>56</v>
      </c>
      <c r="F285">
        <v>1002.7</v>
      </c>
    </row>
    <row r="286" spans="1:6" x14ac:dyDescent="0.2">
      <c r="A286" s="1">
        <v>45576</v>
      </c>
      <c r="B286">
        <v>0</v>
      </c>
      <c r="C286">
        <v>11</v>
      </c>
      <c r="D286">
        <v>16.8</v>
      </c>
      <c r="E286">
        <v>65</v>
      </c>
      <c r="F286">
        <v>1010.1</v>
      </c>
    </row>
    <row r="287" spans="1:6" x14ac:dyDescent="0.2">
      <c r="A287" s="1">
        <v>45577</v>
      </c>
      <c r="B287">
        <v>0.1</v>
      </c>
      <c r="C287">
        <v>11.4</v>
      </c>
      <c r="D287">
        <v>18.3</v>
      </c>
      <c r="E287">
        <v>68</v>
      </c>
      <c r="F287">
        <v>998.3</v>
      </c>
    </row>
    <row r="288" spans="1:6" x14ac:dyDescent="0.2">
      <c r="A288" s="1">
        <v>45578</v>
      </c>
      <c r="B288">
        <v>0</v>
      </c>
      <c r="C288">
        <v>9</v>
      </c>
      <c r="D288">
        <v>6</v>
      </c>
      <c r="E288">
        <v>65</v>
      </c>
      <c r="F288">
        <v>1013.5</v>
      </c>
    </row>
    <row r="289" spans="1:6" x14ac:dyDescent="0.2">
      <c r="A289" s="1">
        <v>45579</v>
      </c>
      <c r="B289">
        <v>0</v>
      </c>
      <c r="C289">
        <v>12</v>
      </c>
      <c r="D289">
        <v>11.1</v>
      </c>
      <c r="E289">
        <v>58</v>
      </c>
      <c r="F289">
        <v>1010.3</v>
      </c>
    </row>
    <row r="290" spans="1:6" x14ac:dyDescent="0.2">
      <c r="A290" s="1">
        <v>45580</v>
      </c>
      <c r="B290">
        <v>0</v>
      </c>
      <c r="C290">
        <v>13.7</v>
      </c>
      <c r="D290">
        <v>18.3</v>
      </c>
      <c r="E290">
        <v>80</v>
      </c>
      <c r="F290">
        <v>1007.2</v>
      </c>
    </row>
    <row r="291" spans="1:6" x14ac:dyDescent="0.2">
      <c r="A291" s="1">
        <v>45581</v>
      </c>
      <c r="B291">
        <v>1.5</v>
      </c>
      <c r="C291">
        <v>16.899999999999999</v>
      </c>
      <c r="D291">
        <v>16.5</v>
      </c>
      <c r="E291">
        <v>89</v>
      </c>
      <c r="F291">
        <v>994.1</v>
      </c>
    </row>
    <row r="292" spans="1:6" x14ac:dyDescent="0.2">
      <c r="A292" s="1">
        <v>45582</v>
      </c>
      <c r="B292">
        <v>0</v>
      </c>
      <c r="C292">
        <v>15.4</v>
      </c>
      <c r="D292">
        <v>19.399999999999999</v>
      </c>
      <c r="E292">
        <v>74</v>
      </c>
      <c r="F292">
        <v>1001.8</v>
      </c>
    </row>
    <row r="293" spans="1:6" x14ac:dyDescent="0.2">
      <c r="A293" s="1">
        <v>45583</v>
      </c>
      <c r="B293">
        <v>0.1</v>
      </c>
      <c r="C293">
        <v>14.1</v>
      </c>
      <c r="D293">
        <v>23.5</v>
      </c>
      <c r="E293">
        <v>74</v>
      </c>
      <c r="F293">
        <v>1004.9</v>
      </c>
    </row>
    <row r="294" spans="1:6" x14ac:dyDescent="0.2">
      <c r="A294" s="1">
        <v>45584</v>
      </c>
      <c r="B294">
        <v>0.1</v>
      </c>
      <c r="C294">
        <v>14.8</v>
      </c>
      <c r="D294">
        <v>11.5</v>
      </c>
      <c r="E294">
        <v>79</v>
      </c>
      <c r="F294">
        <v>1004.2</v>
      </c>
    </row>
    <row r="295" spans="1:6" x14ac:dyDescent="0.2">
      <c r="A295" s="1">
        <v>45585</v>
      </c>
      <c r="B295">
        <v>1.1000000000000001</v>
      </c>
      <c r="C295">
        <v>15.2</v>
      </c>
      <c r="D295">
        <v>27.9</v>
      </c>
      <c r="E295">
        <v>87</v>
      </c>
      <c r="F295">
        <v>993.6</v>
      </c>
    </row>
    <row r="296" spans="1:6" x14ac:dyDescent="0.2">
      <c r="A296" s="1">
        <v>45586</v>
      </c>
      <c r="B296">
        <v>0.1</v>
      </c>
      <c r="C296">
        <v>14.1</v>
      </c>
      <c r="D296">
        <v>25.8</v>
      </c>
      <c r="E296">
        <v>63</v>
      </c>
      <c r="F296">
        <v>1012.1</v>
      </c>
    </row>
    <row r="297" spans="1:6" x14ac:dyDescent="0.2">
      <c r="A297" s="1">
        <v>45587</v>
      </c>
      <c r="B297">
        <v>0.1</v>
      </c>
      <c r="C297">
        <v>14.1</v>
      </c>
      <c r="D297">
        <v>18.2</v>
      </c>
      <c r="E297">
        <v>70</v>
      </c>
      <c r="F297">
        <v>1020</v>
      </c>
    </row>
    <row r="298" spans="1:6" x14ac:dyDescent="0.2">
      <c r="A298" s="1">
        <v>45588</v>
      </c>
      <c r="B298">
        <v>0.1</v>
      </c>
      <c r="C298">
        <v>13.2</v>
      </c>
      <c r="D298">
        <v>12.2</v>
      </c>
      <c r="E298">
        <v>79</v>
      </c>
      <c r="F298">
        <v>1023.1</v>
      </c>
    </row>
    <row r="299" spans="1:6" x14ac:dyDescent="0.2">
      <c r="A299" s="1">
        <v>45589</v>
      </c>
      <c r="B299">
        <v>0</v>
      </c>
      <c r="C299">
        <v>15.2</v>
      </c>
      <c r="D299">
        <v>25.3</v>
      </c>
      <c r="E299">
        <v>76</v>
      </c>
      <c r="F299">
        <v>1009.9</v>
      </c>
    </row>
    <row r="300" spans="1:6" x14ac:dyDescent="0.2">
      <c r="A300" s="1">
        <v>45590</v>
      </c>
      <c r="B300">
        <v>0</v>
      </c>
      <c r="C300">
        <v>15.6</v>
      </c>
      <c r="D300">
        <v>15.4</v>
      </c>
      <c r="E300">
        <v>85</v>
      </c>
      <c r="F300">
        <v>1006.8</v>
      </c>
    </row>
    <row r="301" spans="1:6" x14ac:dyDescent="0.2">
      <c r="A301" s="1">
        <v>45591</v>
      </c>
      <c r="B301">
        <v>0</v>
      </c>
      <c r="C301">
        <v>14.1</v>
      </c>
      <c r="D301">
        <v>12.8</v>
      </c>
      <c r="E301">
        <v>79</v>
      </c>
      <c r="F301">
        <v>1009.1</v>
      </c>
    </row>
    <row r="302" spans="1:6" x14ac:dyDescent="0.2">
      <c r="A302" s="1">
        <v>45592</v>
      </c>
      <c r="B302">
        <v>0</v>
      </c>
      <c r="C302">
        <v>11.5</v>
      </c>
      <c r="D302">
        <v>13.1</v>
      </c>
      <c r="E302">
        <v>67</v>
      </c>
      <c r="F302">
        <v>1016.2</v>
      </c>
    </row>
    <row r="303" spans="1:6" x14ac:dyDescent="0.2">
      <c r="A303" s="1">
        <v>45593</v>
      </c>
      <c r="B303">
        <v>0</v>
      </c>
      <c r="C303">
        <v>15.9</v>
      </c>
      <c r="D303">
        <v>10.3</v>
      </c>
      <c r="E303">
        <v>88</v>
      </c>
      <c r="F303">
        <v>1011</v>
      </c>
    </row>
    <row r="304" spans="1:6" x14ac:dyDescent="0.2">
      <c r="A304" s="1">
        <v>45594</v>
      </c>
      <c r="B304">
        <v>0</v>
      </c>
      <c r="C304">
        <v>14.9</v>
      </c>
      <c r="D304">
        <v>12.3</v>
      </c>
      <c r="E304">
        <v>81</v>
      </c>
      <c r="F304">
        <v>1018.6</v>
      </c>
    </row>
    <row r="305" spans="1:6" x14ac:dyDescent="0.2">
      <c r="A305" s="1">
        <v>45595</v>
      </c>
      <c r="B305">
        <v>0</v>
      </c>
      <c r="C305">
        <v>13.8</v>
      </c>
      <c r="D305">
        <v>6.2</v>
      </c>
      <c r="E305">
        <v>80</v>
      </c>
      <c r="F305">
        <v>1023.8</v>
      </c>
    </row>
    <row r="306" spans="1:6" x14ac:dyDescent="0.2">
      <c r="A306" s="1">
        <v>45596</v>
      </c>
      <c r="B306">
        <v>0.1</v>
      </c>
      <c r="C306">
        <v>11.8</v>
      </c>
      <c r="D306">
        <v>12.9</v>
      </c>
      <c r="E306">
        <v>85</v>
      </c>
      <c r="F306">
        <v>1021.1</v>
      </c>
    </row>
    <row r="307" spans="1:6" x14ac:dyDescent="0.2">
      <c r="A307" s="1">
        <v>45597</v>
      </c>
      <c r="B307">
        <v>0</v>
      </c>
      <c r="C307">
        <v>13.1</v>
      </c>
      <c r="D307">
        <v>17.600000000000001</v>
      </c>
      <c r="E307">
        <v>76</v>
      </c>
      <c r="F307">
        <v>1018.8</v>
      </c>
    </row>
    <row r="308" spans="1:6" x14ac:dyDescent="0.2">
      <c r="A308" s="1">
        <v>45598</v>
      </c>
      <c r="B308">
        <v>0</v>
      </c>
      <c r="C308">
        <v>14</v>
      </c>
      <c r="D308">
        <v>14.7</v>
      </c>
      <c r="E308">
        <v>75</v>
      </c>
      <c r="F308">
        <v>1025.4000000000001</v>
      </c>
    </row>
    <row r="309" spans="1:6" x14ac:dyDescent="0.2">
      <c r="A309" s="1">
        <v>45599</v>
      </c>
      <c r="B309">
        <v>0.1</v>
      </c>
      <c r="C309">
        <v>13</v>
      </c>
      <c r="D309">
        <v>9.3000000000000007</v>
      </c>
      <c r="E309">
        <v>75</v>
      </c>
      <c r="F309">
        <v>1023.5</v>
      </c>
    </row>
    <row r="310" spans="1:6" x14ac:dyDescent="0.2">
      <c r="A310" s="1">
        <v>45600</v>
      </c>
      <c r="B310">
        <v>0</v>
      </c>
      <c r="C310">
        <v>12.1</v>
      </c>
      <c r="D310">
        <v>11.2</v>
      </c>
      <c r="E310">
        <v>71</v>
      </c>
      <c r="F310">
        <v>1020.3</v>
      </c>
    </row>
    <row r="311" spans="1:6" x14ac:dyDescent="0.2">
      <c r="A311" s="1">
        <v>45601</v>
      </c>
      <c r="B311">
        <v>0</v>
      </c>
      <c r="C311">
        <v>12.4</v>
      </c>
      <c r="D311">
        <v>4.5999999999999996</v>
      </c>
      <c r="E311">
        <v>82</v>
      </c>
      <c r="F311">
        <v>1016.6</v>
      </c>
    </row>
    <row r="312" spans="1:6" x14ac:dyDescent="0.2">
      <c r="A312" s="1">
        <v>45602</v>
      </c>
      <c r="B312">
        <v>0</v>
      </c>
      <c r="C312">
        <v>13.1</v>
      </c>
      <c r="D312">
        <v>9.1999999999999993</v>
      </c>
      <c r="E312">
        <v>84</v>
      </c>
      <c r="F312">
        <v>1024.5</v>
      </c>
    </row>
    <row r="313" spans="1:6" x14ac:dyDescent="0.2">
      <c r="A313" s="1">
        <v>45603</v>
      </c>
      <c r="B313">
        <v>0</v>
      </c>
      <c r="C313">
        <v>12.6</v>
      </c>
      <c r="D313">
        <v>14.9</v>
      </c>
      <c r="E313">
        <v>83</v>
      </c>
      <c r="F313">
        <v>1024.5</v>
      </c>
    </row>
    <row r="314" spans="1:6" x14ac:dyDescent="0.2">
      <c r="A314" s="1">
        <v>45604</v>
      </c>
      <c r="B314">
        <v>0</v>
      </c>
      <c r="C314">
        <v>10.9</v>
      </c>
      <c r="D314">
        <v>12.1</v>
      </c>
      <c r="E314">
        <v>71</v>
      </c>
      <c r="F314">
        <v>1019.9</v>
      </c>
    </row>
    <row r="315" spans="1:6" x14ac:dyDescent="0.2">
      <c r="A315" s="1">
        <v>45605</v>
      </c>
      <c r="B315">
        <v>0</v>
      </c>
      <c r="C315">
        <v>8.6</v>
      </c>
      <c r="D315">
        <v>0.8</v>
      </c>
      <c r="E315">
        <v>76</v>
      </c>
      <c r="F315">
        <v>1018.3</v>
      </c>
    </row>
    <row r="316" spans="1:6" x14ac:dyDescent="0.2">
      <c r="A316" s="1">
        <v>45606</v>
      </c>
      <c r="B316">
        <v>0</v>
      </c>
      <c r="C316">
        <v>11.4</v>
      </c>
      <c r="D316">
        <v>6.6</v>
      </c>
      <c r="E316">
        <v>84</v>
      </c>
      <c r="F316">
        <v>1020.2</v>
      </c>
    </row>
    <row r="317" spans="1:6" x14ac:dyDescent="0.2">
      <c r="A317" s="1">
        <v>45607</v>
      </c>
      <c r="B317">
        <v>0</v>
      </c>
      <c r="C317">
        <v>10.8</v>
      </c>
      <c r="D317">
        <v>8.4</v>
      </c>
      <c r="E317">
        <v>79</v>
      </c>
      <c r="F317">
        <v>1031</v>
      </c>
    </row>
    <row r="318" spans="1:6" x14ac:dyDescent="0.2">
      <c r="A318" s="1">
        <v>45608</v>
      </c>
      <c r="B318">
        <v>0</v>
      </c>
      <c r="C318">
        <v>10.1</v>
      </c>
      <c r="D318">
        <v>11.2</v>
      </c>
      <c r="E318">
        <v>78</v>
      </c>
      <c r="F318">
        <v>1033.4000000000001</v>
      </c>
    </row>
    <row r="319" spans="1:6" x14ac:dyDescent="0.2">
      <c r="A319" s="1">
        <v>45609</v>
      </c>
      <c r="B319">
        <v>0</v>
      </c>
      <c r="C319">
        <v>7.3</v>
      </c>
      <c r="D319">
        <v>2.2999999999999998</v>
      </c>
      <c r="E319">
        <v>93</v>
      </c>
      <c r="F319">
        <v>1031.3</v>
      </c>
    </row>
    <row r="320" spans="1:6" x14ac:dyDescent="0.2">
      <c r="A320" s="1">
        <v>45610</v>
      </c>
      <c r="B320">
        <v>0</v>
      </c>
      <c r="C320">
        <v>11.4</v>
      </c>
      <c r="D320">
        <v>4.7</v>
      </c>
      <c r="E320">
        <v>78</v>
      </c>
      <c r="F320">
        <v>1027.4000000000001</v>
      </c>
    </row>
    <row r="321" spans="1:6" x14ac:dyDescent="0.2">
      <c r="A321" s="1">
        <v>45611</v>
      </c>
      <c r="B321">
        <v>0</v>
      </c>
      <c r="C321">
        <v>8.1</v>
      </c>
      <c r="D321">
        <v>3.8</v>
      </c>
      <c r="E321">
        <v>90</v>
      </c>
      <c r="F321">
        <v>1020</v>
      </c>
    </row>
    <row r="322" spans="1:6" x14ac:dyDescent="0.2">
      <c r="A322" s="1">
        <v>45612</v>
      </c>
      <c r="B322">
        <v>0</v>
      </c>
      <c r="C322">
        <v>10.199999999999999</v>
      </c>
      <c r="D322">
        <v>7.8</v>
      </c>
      <c r="E322">
        <v>82</v>
      </c>
      <c r="F322">
        <v>1011.2</v>
      </c>
    </row>
    <row r="323" spans="1:6" x14ac:dyDescent="0.2">
      <c r="A323" s="1">
        <v>45613</v>
      </c>
      <c r="B323">
        <v>0.1</v>
      </c>
      <c r="C323">
        <v>7.3</v>
      </c>
      <c r="D323">
        <v>7.3</v>
      </c>
      <c r="E323">
        <v>82</v>
      </c>
      <c r="F323">
        <v>1008</v>
      </c>
    </row>
    <row r="324" spans="1:6" x14ac:dyDescent="0.2">
      <c r="A324" s="1">
        <v>45614</v>
      </c>
      <c r="B324">
        <v>0</v>
      </c>
      <c r="C324">
        <v>4.2</v>
      </c>
      <c r="D324">
        <v>0.7</v>
      </c>
      <c r="E324">
        <v>82</v>
      </c>
      <c r="F324">
        <v>1006.3</v>
      </c>
    </row>
    <row r="325" spans="1:6" x14ac:dyDescent="0.2">
      <c r="A325" s="1">
        <v>45615</v>
      </c>
      <c r="B325">
        <v>0</v>
      </c>
      <c r="C325">
        <v>4.2</v>
      </c>
      <c r="D325">
        <v>6.5</v>
      </c>
      <c r="E325">
        <v>73</v>
      </c>
      <c r="F325">
        <v>995.1</v>
      </c>
    </row>
    <row r="326" spans="1:6" x14ac:dyDescent="0.2">
      <c r="A326" s="1">
        <v>45616</v>
      </c>
      <c r="B326">
        <v>0</v>
      </c>
      <c r="C326">
        <v>2.8</v>
      </c>
      <c r="D326">
        <v>9.4</v>
      </c>
      <c r="E326">
        <v>65</v>
      </c>
      <c r="F326">
        <v>1003.9</v>
      </c>
    </row>
    <row r="327" spans="1:6" x14ac:dyDescent="0.2">
      <c r="A327" s="1">
        <v>45617</v>
      </c>
      <c r="B327">
        <v>0</v>
      </c>
      <c r="C327">
        <v>1</v>
      </c>
      <c r="D327">
        <v>2.5</v>
      </c>
      <c r="E327">
        <v>79</v>
      </c>
      <c r="F327">
        <v>993.8</v>
      </c>
    </row>
    <row r="328" spans="1:6" x14ac:dyDescent="0.2">
      <c r="A328" s="1">
        <v>45618</v>
      </c>
      <c r="B328">
        <v>0</v>
      </c>
      <c r="C328">
        <v>3.5</v>
      </c>
      <c r="D328">
        <v>5</v>
      </c>
      <c r="E328">
        <v>88</v>
      </c>
      <c r="F328">
        <v>1000.9</v>
      </c>
    </row>
    <row r="329" spans="1:6" x14ac:dyDescent="0.2">
      <c r="A329" s="1">
        <v>45619</v>
      </c>
      <c r="B329">
        <v>1.8</v>
      </c>
      <c r="C329">
        <v>8.9</v>
      </c>
      <c r="D329">
        <v>25.2</v>
      </c>
      <c r="E329">
        <v>94</v>
      </c>
      <c r="F329">
        <v>984.3</v>
      </c>
    </row>
    <row r="330" spans="1:6" x14ac:dyDescent="0.2">
      <c r="A330" s="1">
        <v>45620</v>
      </c>
      <c r="B330">
        <v>0</v>
      </c>
      <c r="C330">
        <v>12.2</v>
      </c>
      <c r="D330">
        <v>17.8</v>
      </c>
      <c r="E330">
        <v>83</v>
      </c>
      <c r="F330">
        <v>982.1</v>
      </c>
    </row>
    <row r="331" spans="1:6" x14ac:dyDescent="0.2">
      <c r="A331" s="1">
        <v>45621</v>
      </c>
      <c r="B331">
        <v>0</v>
      </c>
      <c r="C331">
        <v>9.1</v>
      </c>
      <c r="D331">
        <v>17</v>
      </c>
      <c r="E331">
        <v>71</v>
      </c>
      <c r="F331">
        <v>990.5</v>
      </c>
    </row>
    <row r="332" spans="1:6" x14ac:dyDescent="0.2">
      <c r="A332" s="1">
        <v>45622</v>
      </c>
      <c r="B332">
        <v>0</v>
      </c>
      <c r="C332">
        <v>6.9</v>
      </c>
      <c r="D332">
        <v>8.4</v>
      </c>
      <c r="E332">
        <v>81</v>
      </c>
      <c r="F332">
        <v>1008.2</v>
      </c>
    </row>
    <row r="333" spans="1:6" x14ac:dyDescent="0.2">
      <c r="A333" s="1">
        <v>45623</v>
      </c>
      <c r="B333">
        <v>0</v>
      </c>
      <c r="C333">
        <v>5.9</v>
      </c>
      <c r="D333">
        <v>4.2</v>
      </c>
      <c r="E333">
        <v>82</v>
      </c>
      <c r="F333">
        <v>1009.2</v>
      </c>
    </row>
    <row r="334" spans="1:6" x14ac:dyDescent="0.2">
      <c r="A334" s="1">
        <v>45624</v>
      </c>
      <c r="B334">
        <v>0</v>
      </c>
      <c r="C334">
        <v>4.2</v>
      </c>
      <c r="D334">
        <v>4</v>
      </c>
      <c r="E334">
        <v>85</v>
      </c>
      <c r="F334">
        <v>1022</v>
      </c>
    </row>
    <row r="335" spans="1:6" x14ac:dyDescent="0.2">
      <c r="A335" s="1">
        <v>45625</v>
      </c>
      <c r="B335">
        <v>0</v>
      </c>
      <c r="C335">
        <v>8.9</v>
      </c>
      <c r="D335">
        <v>11.8</v>
      </c>
      <c r="E335">
        <v>73</v>
      </c>
      <c r="F335">
        <v>1016.4</v>
      </c>
    </row>
    <row r="336" spans="1:6" x14ac:dyDescent="0.2">
      <c r="A336" s="1">
        <v>45626</v>
      </c>
      <c r="B336">
        <v>0</v>
      </c>
      <c r="C336">
        <v>13</v>
      </c>
      <c r="D336">
        <v>14.1</v>
      </c>
      <c r="E336">
        <v>90</v>
      </c>
      <c r="F336">
        <v>1013.8</v>
      </c>
    </row>
    <row r="337" spans="1:6" x14ac:dyDescent="0.2">
      <c r="A337" s="1">
        <v>45627</v>
      </c>
      <c r="B337">
        <v>0</v>
      </c>
      <c r="C337">
        <v>13.1</v>
      </c>
      <c r="D337">
        <v>13.9</v>
      </c>
      <c r="E337">
        <v>90</v>
      </c>
      <c r="F337">
        <v>1002.3</v>
      </c>
    </row>
    <row r="338" spans="1:6" x14ac:dyDescent="0.2">
      <c r="A338" s="1">
        <v>45628</v>
      </c>
      <c r="B338">
        <v>0.1</v>
      </c>
      <c r="C338">
        <v>8.8000000000000007</v>
      </c>
      <c r="D338">
        <v>13.2</v>
      </c>
      <c r="E338">
        <v>85</v>
      </c>
      <c r="F338">
        <v>1005.2</v>
      </c>
    </row>
    <row r="339" spans="1:6" x14ac:dyDescent="0.2">
      <c r="A339" s="1">
        <v>45629</v>
      </c>
      <c r="B339">
        <v>0</v>
      </c>
      <c r="C339">
        <v>5.2</v>
      </c>
      <c r="D339">
        <v>1.4</v>
      </c>
      <c r="E339">
        <v>84</v>
      </c>
      <c r="F339">
        <v>1016.9</v>
      </c>
    </row>
    <row r="340" spans="1:6" x14ac:dyDescent="0.2">
      <c r="A340" s="1">
        <v>45630</v>
      </c>
      <c r="B340">
        <v>0</v>
      </c>
      <c r="C340">
        <v>7.3</v>
      </c>
      <c r="D340">
        <v>9.6999999999999993</v>
      </c>
      <c r="E340">
        <v>90</v>
      </c>
      <c r="F340">
        <v>1016.8</v>
      </c>
    </row>
    <row r="341" spans="1:6" x14ac:dyDescent="0.2">
      <c r="A341" s="1">
        <v>45631</v>
      </c>
      <c r="B341">
        <v>0</v>
      </c>
      <c r="C341">
        <v>10.6</v>
      </c>
      <c r="D341">
        <v>10.5</v>
      </c>
      <c r="E341">
        <v>91</v>
      </c>
      <c r="F341">
        <v>997.9</v>
      </c>
    </row>
    <row r="342" spans="1:6" x14ac:dyDescent="0.2">
      <c r="A342" s="1">
        <v>45632</v>
      </c>
      <c r="B342">
        <v>0</v>
      </c>
      <c r="C342">
        <v>8.1</v>
      </c>
      <c r="D342">
        <v>7.3</v>
      </c>
      <c r="E342">
        <v>81</v>
      </c>
      <c r="F342">
        <v>1009.8</v>
      </c>
    </row>
    <row r="343" spans="1:6" x14ac:dyDescent="0.2">
      <c r="A343" s="1">
        <v>45633</v>
      </c>
      <c r="B343">
        <v>0.1</v>
      </c>
      <c r="C343">
        <v>7.1</v>
      </c>
      <c r="D343">
        <v>29.2</v>
      </c>
      <c r="E343">
        <v>75</v>
      </c>
      <c r="F343">
        <v>985.6</v>
      </c>
    </row>
    <row r="344" spans="1:6" x14ac:dyDescent="0.2">
      <c r="A344" s="1">
        <v>45634</v>
      </c>
      <c r="B344">
        <v>0</v>
      </c>
      <c r="C344">
        <v>7.3</v>
      </c>
      <c r="D344">
        <v>22.6</v>
      </c>
      <c r="E344">
        <v>69</v>
      </c>
      <c r="F344">
        <v>1019.6</v>
      </c>
    </row>
    <row r="345" spans="1:6" x14ac:dyDescent="0.2">
      <c r="A345" s="1">
        <v>45635</v>
      </c>
      <c r="B345">
        <v>0</v>
      </c>
      <c r="C345">
        <v>8.3000000000000007</v>
      </c>
      <c r="D345">
        <v>16</v>
      </c>
      <c r="E345">
        <v>68</v>
      </c>
      <c r="F345">
        <v>1031</v>
      </c>
    </row>
    <row r="346" spans="1:6" x14ac:dyDescent="0.2">
      <c r="A346" s="1">
        <v>45636</v>
      </c>
      <c r="B346">
        <v>0</v>
      </c>
      <c r="C346">
        <v>6.7</v>
      </c>
      <c r="D346">
        <v>10.8</v>
      </c>
      <c r="E346">
        <v>70</v>
      </c>
      <c r="F346">
        <v>1031.0999999999999</v>
      </c>
    </row>
    <row r="347" spans="1:6" x14ac:dyDescent="0.2">
      <c r="A347" s="1">
        <v>45637</v>
      </c>
      <c r="B347">
        <v>0</v>
      </c>
      <c r="C347">
        <v>6.2</v>
      </c>
      <c r="D347">
        <v>5.9</v>
      </c>
      <c r="E347">
        <v>79</v>
      </c>
      <c r="F347">
        <v>1029.3</v>
      </c>
    </row>
    <row r="348" spans="1:6" x14ac:dyDescent="0.2">
      <c r="A348" s="1">
        <v>45638</v>
      </c>
      <c r="B348">
        <v>0</v>
      </c>
      <c r="C348">
        <v>7.5</v>
      </c>
      <c r="D348">
        <v>8</v>
      </c>
      <c r="E348">
        <v>87</v>
      </c>
      <c r="F348">
        <v>1026.8</v>
      </c>
    </row>
    <row r="349" spans="1:6" x14ac:dyDescent="0.2">
      <c r="A349" s="1">
        <v>45639</v>
      </c>
      <c r="B349">
        <v>0.1</v>
      </c>
      <c r="C349">
        <v>6</v>
      </c>
      <c r="D349">
        <v>2.4</v>
      </c>
      <c r="E349">
        <v>92</v>
      </c>
      <c r="F349">
        <v>1019.8</v>
      </c>
    </row>
    <row r="350" spans="1:6" x14ac:dyDescent="0.2">
      <c r="A350" s="1">
        <v>45640</v>
      </c>
      <c r="B350">
        <v>0</v>
      </c>
      <c r="C350">
        <v>6.6</v>
      </c>
      <c r="D350">
        <v>7.8</v>
      </c>
      <c r="E350">
        <v>84</v>
      </c>
      <c r="F350">
        <v>1016.1</v>
      </c>
    </row>
    <row r="351" spans="1:6" x14ac:dyDescent="0.2">
      <c r="A351" s="1">
        <v>45641</v>
      </c>
      <c r="B351">
        <v>0.1</v>
      </c>
      <c r="C351">
        <v>11.1</v>
      </c>
      <c r="D351">
        <v>18</v>
      </c>
      <c r="E351">
        <v>90</v>
      </c>
      <c r="F351">
        <v>1019.7</v>
      </c>
    </row>
    <row r="352" spans="1:6" x14ac:dyDescent="0.2">
      <c r="A352" s="1">
        <v>45642</v>
      </c>
      <c r="B352">
        <v>0</v>
      </c>
      <c r="C352">
        <v>10.8</v>
      </c>
      <c r="D352">
        <v>12.6</v>
      </c>
      <c r="E352">
        <v>78</v>
      </c>
      <c r="F352">
        <v>1021.2</v>
      </c>
    </row>
    <row r="353" spans="1:6" x14ac:dyDescent="0.2">
      <c r="A353" s="1">
        <v>45643</v>
      </c>
      <c r="B353">
        <v>0</v>
      </c>
      <c r="C353">
        <v>9.9</v>
      </c>
      <c r="D353">
        <v>15.1</v>
      </c>
      <c r="E353">
        <v>92</v>
      </c>
      <c r="F353">
        <v>1013.6</v>
      </c>
    </row>
    <row r="354" spans="1:6" x14ac:dyDescent="0.2">
      <c r="A354" s="1">
        <v>45644</v>
      </c>
      <c r="B354">
        <v>0.1</v>
      </c>
      <c r="C354">
        <v>11.2</v>
      </c>
      <c r="D354">
        <v>21.1</v>
      </c>
      <c r="E354">
        <v>80</v>
      </c>
      <c r="F354">
        <v>997.2</v>
      </c>
    </row>
    <row r="355" spans="1:6" x14ac:dyDescent="0.2">
      <c r="A355" s="1">
        <v>45645</v>
      </c>
      <c r="B355">
        <v>0</v>
      </c>
      <c r="C355">
        <v>6.2</v>
      </c>
      <c r="D355">
        <v>14.8</v>
      </c>
      <c r="E355">
        <v>71</v>
      </c>
      <c r="F355">
        <v>1001.7</v>
      </c>
    </row>
    <row r="356" spans="1:6" x14ac:dyDescent="0.2">
      <c r="A356" s="1">
        <v>45646</v>
      </c>
      <c r="B356">
        <v>0</v>
      </c>
      <c r="C356">
        <v>8.1</v>
      </c>
      <c r="D356">
        <v>15</v>
      </c>
      <c r="E356">
        <v>80</v>
      </c>
      <c r="F356">
        <v>1006.7</v>
      </c>
    </row>
    <row r="357" spans="1:6" x14ac:dyDescent="0.2">
      <c r="A357" s="1">
        <v>45647</v>
      </c>
      <c r="B357">
        <v>0.1</v>
      </c>
      <c r="C357">
        <v>10.4</v>
      </c>
      <c r="D357">
        <v>24.3</v>
      </c>
      <c r="E357">
        <v>79</v>
      </c>
      <c r="F357">
        <v>998.6</v>
      </c>
    </row>
    <row r="358" spans="1:6" x14ac:dyDescent="0.2">
      <c r="A358" s="1">
        <v>45648</v>
      </c>
      <c r="B358">
        <v>0</v>
      </c>
      <c r="C358">
        <v>4.4000000000000004</v>
      </c>
      <c r="D358">
        <v>18.7</v>
      </c>
      <c r="E358">
        <v>69</v>
      </c>
      <c r="F358">
        <v>995.8</v>
      </c>
    </row>
    <row r="359" spans="1:6" x14ac:dyDescent="0.2">
      <c r="A359" s="1">
        <v>45649</v>
      </c>
      <c r="B359">
        <v>0.1</v>
      </c>
      <c r="C359">
        <v>5.2</v>
      </c>
      <c r="D359">
        <v>4.8</v>
      </c>
      <c r="E359">
        <v>85</v>
      </c>
      <c r="F359">
        <v>1017.2</v>
      </c>
    </row>
    <row r="360" spans="1:6" x14ac:dyDescent="0.2">
      <c r="A360" s="1">
        <v>45650</v>
      </c>
      <c r="B360">
        <v>0</v>
      </c>
      <c r="C360">
        <v>11.4</v>
      </c>
      <c r="D360">
        <v>13</v>
      </c>
      <c r="E360">
        <v>94</v>
      </c>
      <c r="F360">
        <v>1018.6</v>
      </c>
    </row>
    <row r="361" spans="1:6" x14ac:dyDescent="0.2">
      <c r="A361" s="1">
        <v>45651</v>
      </c>
      <c r="B361">
        <v>0</v>
      </c>
      <c r="C361">
        <v>10.8</v>
      </c>
      <c r="D361">
        <v>8.8000000000000007</v>
      </c>
      <c r="E361">
        <v>91</v>
      </c>
      <c r="F361">
        <v>1025.8</v>
      </c>
    </row>
    <row r="362" spans="1:6" x14ac:dyDescent="0.2">
      <c r="A362" s="1">
        <v>45652</v>
      </c>
      <c r="B362">
        <v>0</v>
      </c>
      <c r="C362">
        <v>9.3000000000000007</v>
      </c>
      <c r="D362">
        <v>5.5</v>
      </c>
      <c r="E362">
        <v>90</v>
      </c>
      <c r="F362">
        <v>1028.7</v>
      </c>
    </row>
    <row r="363" spans="1:6" x14ac:dyDescent="0.2">
      <c r="A363" s="1">
        <v>45653</v>
      </c>
      <c r="B363">
        <v>0</v>
      </c>
      <c r="C363">
        <v>6.4</v>
      </c>
      <c r="D363">
        <v>1.9</v>
      </c>
      <c r="E363">
        <v>93</v>
      </c>
      <c r="F363">
        <v>1026.9000000000001</v>
      </c>
    </row>
    <row r="364" spans="1:6" x14ac:dyDescent="0.2">
      <c r="A364" s="1">
        <v>45654</v>
      </c>
      <c r="B364">
        <v>0</v>
      </c>
      <c r="C364">
        <v>5.8</v>
      </c>
      <c r="D364">
        <v>3.3</v>
      </c>
      <c r="E364">
        <v>91</v>
      </c>
      <c r="F364">
        <v>1022.1</v>
      </c>
    </row>
    <row r="365" spans="1:6" x14ac:dyDescent="0.2">
      <c r="A365" s="1">
        <v>45655</v>
      </c>
      <c r="B365">
        <v>0</v>
      </c>
      <c r="C365">
        <v>8.6999999999999993</v>
      </c>
      <c r="D365">
        <v>10.7</v>
      </c>
      <c r="E365">
        <v>84</v>
      </c>
      <c r="F365">
        <v>1021.8</v>
      </c>
    </row>
    <row r="366" spans="1:6" x14ac:dyDescent="0.2">
      <c r="A366" s="1">
        <v>45656</v>
      </c>
      <c r="B366">
        <v>0</v>
      </c>
      <c r="C366">
        <v>10.1</v>
      </c>
      <c r="D366">
        <v>14</v>
      </c>
      <c r="E366">
        <v>78</v>
      </c>
      <c r="F366">
        <v>1017</v>
      </c>
    </row>
    <row r="367" spans="1:6" x14ac:dyDescent="0.2">
      <c r="A367" s="1">
        <v>45657</v>
      </c>
      <c r="B367">
        <v>0.1</v>
      </c>
      <c r="C367">
        <v>10.8</v>
      </c>
      <c r="D367">
        <v>22.6</v>
      </c>
      <c r="E367">
        <v>76</v>
      </c>
      <c r="F367">
        <v>1006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207B8-8084-DF4E-9708-CE74ABEA667F}">
  <dimension ref="A1:J28"/>
  <sheetViews>
    <sheetView workbookViewId="0">
      <selection activeCell="F27" sqref="F27"/>
    </sheetView>
  </sheetViews>
  <sheetFormatPr baseColWidth="10" defaultRowHeight="16" x14ac:dyDescent="0.2"/>
  <sheetData>
    <row r="1" spans="1:10" x14ac:dyDescent="0.2">
      <c r="A1" s="2" t="s">
        <v>212</v>
      </c>
      <c r="B1" s="2" t="s">
        <v>213</v>
      </c>
      <c r="C1" s="2" t="s">
        <v>214</v>
      </c>
    </row>
    <row r="2" spans="1:10" x14ac:dyDescent="0.2">
      <c r="A2" s="2" t="s">
        <v>215</v>
      </c>
      <c r="B2" s="2">
        <v>2</v>
      </c>
      <c r="C2" s="2">
        <v>0</v>
      </c>
      <c r="F2" s="4" t="s">
        <v>282</v>
      </c>
    </row>
    <row r="3" spans="1:10" x14ac:dyDescent="0.2">
      <c r="A3" s="2" t="s">
        <v>216</v>
      </c>
      <c r="B3" s="2">
        <v>9</v>
      </c>
      <c r="C3" s="2">
        <v>1</v>
      </c>
      <c r="F3" s="3"/>
      <c r="J3" s="17"/>
    </row>
    <row r="4" spans="1:10" x14ac:dyDescent="0.2">
      <c r="A4" s="2" t="s">
        <v>217</v>
      </c>
      <c r="B4" s="2">
        <v>2</v>
      </c>
      <c r="C4" s="2">
        <v>3</v>
      </c>
      <c r="F4" s="16" t="s">
        <v>276</v>
      </c>
      <c r="G4" s="18">
        <v>3</v>
      </c>
      <c r="I4" s="16" t="s">
        <v>277</v>
      </c>
      <c r="J4" s="18">
        <v>2</v>
      </c>
    </row>
    <row r="5" spans="1:10" x14ac:dyDescent="0.2">
      <c r="A5" s="2" t="s">
        <v>218</v>
      </c>
      <c r="B5" s="2">
        <v>2</v>
      </c>
      <c r="C5" s="2">
        <v>3</v>
      </c>
    </row>
    <row r="6" spans="1:10" x14ac:dyDescent="0.2">
      <c r="A6" s="2" t="s">
        <v>219</v>
      </c>
      <c r="B6" s="2">
        <v>4</v>
      </c>
      <c r="C6" s="2">
        <v>2</v>
      </c>
      <c r="E6" t="s">
        <v>216</v>
      </c>
      <c r="F6" t="s">
        <v>278</v>
      </c>
      <c r="I6">
        <f>SUMIF(C2:C28, "&gt;="&amp;$G$4,B2:B28)</f>
        <v>23</v>
      </c>
    </row>
    <row r="7" spans="1:10" x14ac:dyDescent="0.2">
      <c r="A7" s="2" t="s">
        <v>220</v>
      </c>
      <c r="B7" s="2">
        <v>12</v>
      </c>
      <c r="C7" s="2">
        <v>1</v>
      </c>
      <c r="E7" t="s">
        <v>217</v>
      </c>
      <c r="F7" t="s">
        <v>279</v>
      </c>
      <c r="I7">
        <f>SUMIF(B2:B28, "&gt;="&amp;$J$4,B2:B28)</f>
        <v>95</v>
      </c>
    </row>
    <row r="8" spans="1:10" x14ac:dyDescent="0.2">
      <c r="A8" s="2" t="s">
        <v>221</v>
      </c>
      <c r="B8" s="2">
        <v>2</v>
      </c>
      <c r="C8" s="2">
        <v>4</v>
      </c>
      <c r="F8" t="s">
        <v>280</v>
      </c>
      <c r="I8">
        <f>SUMIFS(B2:B28, B2:B28,"&gt;="&amp;$J$4, C2:C28, "&gt;="&amp;$G$4)</f>
        <v>18</v>
      </c>
    </row>
    <row r="9" spans="1:10" x14ac:dyDescent="0.2">
      <c r="A9" s="2" t="s">
        <v>222</v>
      </c>
      <c r="B9" s="2">
        <v>3</v>
      </c>
      <c r="C9" s="2">
        <v>2</v>
      </c>
    </row>
    <row r="10" spans="1:10" x14ac:dyDescent="0.2">
      <c r="A10" s="2" t="s">
        <v>223</v>
      </c>
      <c r="B10" s="2">
        <v>2</v>
      </c>
      <c r="C10" s="2">
        <v>4</v>
      </c>
      <c r="F10" t="s">
        <v>281</v>
      </c>
      <c r="G10" s="5">
        <f>I8/I7</f>
        <v>0.18947368421052632</v>
      </c>
    </row>
    <row r="11" spans="1:10" x14ac:dyDescent="0.2">
      <c r="A11" s="2" t="s">
        <v>224</v>
      </c>
      <c r="B11" s="2">
        <v>9</v>
      </c>
      <c r="C11" s="2">
        <v>1</v>
      </c>
    </row>
    <row r="12" spans="1:10" x14ac:dyDescent="0.2">
      <c r="A12" s="2" t="s">
        <v>225</v>
      </c>
      <c r="B12" s="2">
        <v>1</v>
      </c>
      <c r="C12" s="2">
        <v>8</v>
      </c>
      <c r="F12" s="4" t="s">
        <v>275</v>
      </c>
    </row>
    <row r="13" spans="1:10" x14ac:dyDescent="0.2">
      <c r="A13" s="2" t="s">
        <v>226</v>
      </c>
      <c r="B13" s="2">
        <v>1</v>
      </c>
      <c r="C13" s="2">
        <v>5</v>
      </c>
    </row>
    <row r="14" spans="1:10" x14ac:dyDescent="0.2">
      <c r="A14" s="2" t="s">
        <v>227</v>
      </c>
      <c r="B14" s="2">
        <v>4</v>
      </c>
      <c r="C14" s="2">
        <v>1</v>
      </c>
      <c r="F14" t="s">
        <v>283</v>
      </c>
    </row>
    <row r="15" spans="1:10" x14ac:dyDescent="0.2">
      <c r="A15" s="2" t="s">
        <v>228</v>
      </c>
      <c r="B15" s="2">
        <v>2</v>
      </c>
      <c r="C15" s="2">
        <v>3</v>
      </c>
    </row>
    <row r="16" spans="1:10" x14ac:dyDescent="0.2">
      <c r="A16" s="2" t="s">
        <v>229</v>
      </c>
      <c r="B16" s="2">
        <v>6</v>
      </c>
      <c r="C16" s="2">
        <v>1</v>
      </c>
      <c r="F16" s="4" t="s">
        <v>284</v>
      </c>
    </row>
    <row r="17" spans="1:7" x14ac:dyDescent="0.2">
      <c r="A17" s="2" t="s">
        <v>230</v>
      </c>
      <c r="B17" s="2">
        <v>8</v>
      </c>
      <c r="C17" s="2">
        <v>1</v>
      </c>
    </row>
    <row r="18" spans="1:7" x14ac:dyDescent="0.2">
      <c r="A18" s="2" t="s">
        <v>231</v>
      </c>
      <c r="B18" s="2">
        <v>2</v>
      </c>
      <c r="C18" s="2">
        <v>3</v>
      </c>
      <c r="F18" s="3" t="s">
        <v>285</v>
      </c>
      <c r="G18" s="5">
        <f>I8/I6</f>
        <v>0.78260869565217395</v>
      </c>
    </row>
    <row r="19" spans="1:7" x14ac:dyDescent="0.2">
      <c r="A19" s="2" t="s">
        <v>232</v>
      </c>
      <c r="B19" s="2">
        <v>1</v>
      </c>
      <c r="C19" s="2">
        <v>10</v>
      </c>
    </row>
    <row r="20" spans="1:7" x14ac:dyDescent="0.2">
      <c r="A20" s="2" t="s">
        <v>233</v>
      </c>
      <c r="B20" s="2">
        <v>6</v>
      </c>
      <c r="C20" s="2">
        <v>1</v>
      </c>
      <c r="F20" t="s">
        <v>286</v>
      </c>
    </row>
    <row r="21" spans="1:7" x14ac:dyDescent="0.2">
      <c r="A21" s="2" t="s">
        <v>234</v>
      </c>
      <c r="B21" s="2">
        <v>4</v>
      </c>
      <c r="C21" s="2">
        <v>1</v>
      </c>
    </row>
    <row r="22" spans="1:7" x14ac:dyDescent="0.2">
      <c r="A22" s="2" t="s">
        <v>235</v>
      </c>
      <c r="B22" s="2">
        <v>6</v>
      </c>
      <c r="C22" s="2">
        <v>1</v>
      </c>
    </row>
    <row r="23" spans="1:7" x14ac:dyDescent="0.2">
      <c r="A23" s="2" t="s">
        <v>236</v>
      </c>
      <c r="B23" s="2">
        <v>4</v>
      </c>
      <c r="C23" s="2">
        <v>1</v>
      </c>
    </row>
    <row r="24" spans="1:7" x14ac:dyDescent="0.2">
      <c r="A24" s="2" t="s">
        <v>237</v>
      </c>
      <c r="B24" s="2">
        <v>2</v>
      </c>
      <c r="C24" s="2">
        <v>4</v>
      </c>
    </row>
    <row r="25" spans="1:7" x14ac:dyDescent="0.2">
      <c r="A25" s="2" t="s">
        <v>238</v>
      </c>
      <c r="B25" s="2">
        <v>2</v>
      </c>
      <c r="C25" s="2">
        <v>4</v>
      </c>
    </row>
    <row r="26" spans="1:7" x14ac:dyDescent="0.2">
      <c r="A26" s="2" t="s">
        <v>239</v>
      </c>
      <c r="B26" s="2">
        <v>1</v>
      </c>
      <c r="C26" s="2">
        <v>8</v>
      </c>
    </row>
    <row r="27" spans="1:7" x14ac:dyDescent="0.2">
      <c r="A27" s="2" t="s">
        <v>240</v>
      </c>
      <c r="B27" s="2">
        <v>2</v>
      </c>
      <c r="C27" s="2">
        <v>4</v>
      </c>
    </row>
    <row r="28" spans="1:7" x14ac:dyDescent="0.2">
      <c r="A28" s="2" t="s">
        <v>241</v>
      </c>
      <c r="B28" s="2">
        <v>1</v>
      </c>
      <c r="C28" s="2">
        <v>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5E121-A0FD-5742-BBBE-DA6EC0764F64}">
  <dimension ref="B2:J14"/>
  <sheetViews>
    <sheetView tabSelected="1" workbookViewId="0">
      <selection activeCell="D30" sqref="D30"/>
    </sheetView>
  </sheetViews>
  <sheetFormatPr baseColWidth="10" defaultRowHeight="16" x14ac:dyDescent="0.2"/>
  <cols>
    <col min="2" max="2" width="15.83203125" customWidth="1"/>
    <col min="3" max="3" width="17" bestFit="1" customWidth="1"/>
    <col min="4" max="4" width="14.83203125" bestFit="1" customWidth="1"/>
    <col min="5" max="5" width="13.83203125" bestFit="1" customWidth="1"/>
    <col min="6" max="6" width="18.6640625" bestFit="1" customWidth="1"/>
    <col min="7" max="7" width="18.33203125" style="5" bestFit="1" customWidth="1"/>
    <col min="8" max="8" width="16" style="5" bestFit="1" customWidth="1"/>
  </cols>
  <sheetData>
    <row r="2" spans="2:10" x14ac:dyDescent="0.2">
      <c r="B2" s="19" t="s">
        <v>287</v>
      </c>
      <c r="C2" s="20" t="s">
        <v>288</v>
      </c>
      <c r="D2" s="20" t="s">
        <v>289</v>
      </c>
      <c r="E2" s="20" t="s">
        <v>291</v>
      </c>
      <c r="F2" s="20" t="s">
        <v>290</v>
      </c>
      <c r="G2" s="21" t="s">
        <v>293</v>
      </c>
      <c r="H2" s="22" t="s">
        <v>294</v>
      </c>
    </row>
    <row r="3" spans="2:10" x14ac:dyDescent="0.2">
      <c r="B3" s="12" t="s">
        <v>292</v>
      </c>
      <c r="C3">
        <v>59</v>
      </c>
      <c r="D3">
        <v>6</v>
      </c>
      <c r="E3">
        <v>6</v>
      </c>
      <c r="F3">
        <v>2</v>
      </c>
      <c r="G3" s="23">
        <f>1/COMBIN(C3, E3)</f>
        <v>2.2193876203535076E-8</v>
      </c>
      <c r="H3" s="24">
        <f>G3*F3</f>
        <v>4.4387752407070152E-8</v>
      </c>
      <c r="J3" t="s">
        <v>295</v>
      </c>
    </row>
    <row r="4" spans="2:10" x14ac:dyDescent="0.2">
      <c r="B4" s="12"/>
      <c r="G4" s="23">
        <f t="shared" ref="G4:G14" si="0">1/COMBIN(C4, E4)</f>
        <v>1</v>
      </c>
      <c r="H4" s="24">
        <f t="shared" ref="H4:H14" si="1">G4*F4</f>
        <v>0</v>
      </c>
    </row>
    <row r="5" spans="2:10" x14ac:dyDescent="0.2">
      <c r="B5" s="12"/>
      <c r="G5" s="23">
        <f t="shared" si="0"/>
        <v>1</v>
      </c>
      <c r="H5" s="24">
        <f t="shared" si="1"/>
        <v>0</v>
      </c>
    </row>
    <row r="6" spans="2:10" x14ac:dyDescent="0.2">
      <c r="B6" s="12"/>
      <c r="G6" s="23">
        <f t="shared" si="0"/>
        <v>1</v>
      </c>
      <c r="H6" s="24">
        <f t="shared" si="1"/>
        <v>0</v>
      </c>
    </row>
    <row r="7" spans="2:10" x14ac:dyDescent="0.2">
      <c r="B7" s="12"/>
      <c r="G7" s="23">
        <f t="shared" si="0"/>
        <v>1</v>
      </c>
      <c r="H7" s="24">
        <f t="shared" si="1"/>
        <v>0</v>
      </c>
    </row>
    <row r="8" spans="2:10" x14ac:dyDescent="0.2">
      <c r="B8" s="12"/>
      <c r="G8" s="23">
        <f t="shared" si="0"/>
        <v>1</v>
      </c>
      <c r="H8" s="24">
        <f t="shared" si="1"/>
        <v>0</v>
      </c>
    </row>
    <row r="9" spans="2:10" x14ac:dyDescent="0.2">
      <c r="B9" s="12"/>
      <c r="G9" s="23">
        <f t="shared" si="0"/>
        <v>1</v>
      </c>
      <c r="H9" s="24">
        <f t="shared" si="1"/>
        <v>0</v>
      </c>
    </row>
    <row r="10" spans="2:10" x14ac:dyDescent="0.2">
      <c r="B10" s="12"/>
      <c r="G10" s="23">
        <f t="shared" si="0"/>
        <v>1</v>
      </c>
      <c r="H10" s="24">
        <f t="shared" si="1"/>
        <v>0</v>
      </c>
    </row>
    <row r="11" spans="2:10" x14ac:dyDescent="0.2">
      <c r="B11" s="12"/>
      <c r="G11" s="23">
        <f t="shared" si="0"/>
        <v>1</v>
      </c>
      <c r="H11" s="24">
        <f t="shared" si="1"/>
        <v>0</v>
      </c>
    </row>
    <row r="12" spans="2:10" x14ac:dyDescent="0.2">
      <c r="B12" s="12"/>
      <c r="G12" s="23">
        <f t="shared" si="0"/>
        <v>1</v>
      </c>
      <c r="H12" s="24">
        <f t="shared" si="1"/>
        <v>0</v>
      </c>
    </row>
    <row r="13" spans="2:10" x14ac:dyDescent="0.2">
      <c r="B13" s="12"/>
      <c r="G13" s="23">
        <f t="shared" si="0"/>
        <v>1</v>
      </c>
      <c r="H13" s="24">
        <f t="shared" si="1"/>
        <v>0</v>
      </c>
    </row>
    <row r="14" spans="2:10" x14ac:dyDescent="0.2">
      <c r="B14" s="14"/>
      <c r="C14" s="8"/>
      <c r="D14" s="8"/>
      <c r="E14" s="8"/>
      <c r="F14" s="8"/>
      <c r="G14" s="25">
        <f t="shared" si="0"/>
        <v>1</v>
      </c>
      <c r="H14" s="26">
        <f t="shared" si="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Exercise 1.1</vt:lpstr>
      <vt:lpstr>Exercise 1.2</vt:lpstr>
      <vt:lpstr>Exercise 1.3</vt:lpstr>
      <vt:lpstr>Exercise 1.4</vt:lpstr>
      <vt:lpstr>Exercise 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Katie Steckles</dc:creator>
  <cp:lastModifiedBy>Katie Steckles</cp:lastModifiedBy>
  <dcterms:created xsi:type="dcterms:W3CDTF">2026-02-10T13:40:11Z</dcterms:created>
  <dcterms:modified xsi:type="dcterms:W3CDTF">2026-08-26T13:19:58Z</dcterms:modified>
</cp:coreProperties>
</file>